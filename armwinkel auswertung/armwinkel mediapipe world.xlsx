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pelman\Desktop\Masterarbeit\armwinkel auswertung\"/>
    </mc:Choice>
  </mc:AlternateContent>
  <xr:revisionPtr revIDLastSave="0" documentId="13_ncr:1_{46A88BE7-64B3-4932-B61C-141D539E471E}" xr6:coauthVersionLast="47" xr6:coauthVersionMax="47" xr10:uidLastSave="{00000000-0000-0000-0000-000000000000}"/>
  <bookViews>
    <workbookView xWindow="-120" yWindow="-120" windowWidth="29040" windowHeight="15840" xr2:uid="{4B6C38A1-A2E0-47AD-A4A2-CC2594FC12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0" i="1" l="1"/>
  <c r="K30" i="1"/>
  <c r="J30" i="1"/>
  <c r="M30" i="1" s="1"/>
  <c r="L29" i="1"/>
  <c r="K29" i="1"/>
  <c r="J29" i="1"/>
  <c r="M29" i="1" s="1"/>
  <c r="L28" i="1"/>
  <c r="K28" i="1"/>
  <c r="J28" i="1"/>
  <c r="M28" i="1" s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Q2" i="1"/>
  <c r="Q3" i="1"/>
  <c r="Q4" i="1"/>
  <c r="Q5" i="1"/>
  <c r="Q6" i="1"/>
  <c r="Q7" i="1"/>
  <c r="Q8" i="1"/>
  <c r="Q9" i="1"/>
  <c r="Q10" i="1"/>
  <c r="Q11" i="1"/>
  <c r="Q12" i="1"/>
  <c r="Q13" i="1"/>
  <c r="M3" i="1"/>
  <c r="M4" i="1"/>
  <c r="M5" i="1"/>
  <c r="M6" i="1"/>
  <c r="M7" i="1"/>
  <c r="M8" i="1"/>
  <c r="M9" i="1"/>
  <c r="M10" i="1"/>
  <c r="M11" i="1"/>
  <c r="M12" i="1"/>
  <c r="M13" i="1"/>
  <c r="O2" i="1"/>
  <c r="M2" i="1"/>
  <c r="K3" i="1"/>
  <c r="K4" i="1"/>
  <c r="K5" i="1"/>
  <c r="K6" i="1"/>
  <c r="K7" i="1"/>
  <c r="K8" i="1"/>
  <c r="K9" i="1"/>
  <c r="K10" i="1"/>
  <c r="K11" i="1"/>
  <c r="K12" i="1"/>
  <c r="K13" i="1"/>
  <c r="K2" i="1"/>
  <c r="O3" i="1"/>
  <c r="O4" i="1"/>
  <c r="O5" i="1"/>
  <c r="O6" i="1"/>
  <c r="O7" i="1"/>
  <c r="O8" i="1"/>
  <c r="O9" i="1"/>
  <c r="O10" i="1"/>
  <c r="O11" i="1"/>
  <c r="O12" i="1"/>
  <c r="O13" i="1"/>
  <c r="M27" i="1" l="1"/>
</calcChain>
</file>

<file path=xl/sharedStrings.xml><?xml version="1.0" encoding="utf-8"?>
<sst xmlns="http://schemas.openxmlformats.org/spreadsheetml/2006/main" count="78" uniqueCount="25">
  <si>
    <t>referenze achse</t>
  </si>
  <si>
    <t>kamera neigung</t>
  </si>
  <si>
    <t>winkel punkt</t>
  </si>
  <si>
    <t>schulter</t>
  </si>
  <si>
    <t>brust</t>
  </si>
  <si>
    <t>z</t>
  </si>
  <si>
    <t>x</t>
  </si>
  <si>
    <t>90° (rechts)</t>
  </si>
  <si>
    <t>90° (links)</t>
  </si>
  <si>
    <t>45° (links)</t>
  </si>
  <si>
    <t>45° (rechts)</t>
  </si>
  <si>
    <t>0° (links)</t>
  </si>
  <si>
    <t>0° (rechts)</t>
  </si>
  <si>
    <t>32,5 (world corrds)</t>
  </si>
  <si>
    <t>90° mitte diff</t>
  </si>
  <si>
    <t xml:space="preserve">45° mitte diff </t>
  </si>
  <si>
    <t>0° mitte diff</t>
  </si>
  <si>
    <t>total diff</t>
  </si>
  <si>
    <t>Kameraneigung</t>
  </si>
  <si>
    <t>Winkelpunkt</t>
  </si>
  <si>
    <t>Referenzachse</t>
  </si>
  <si>
    <t>Schultermitte</t>
  </si>
  <si>
    <t>Schulter</t>
  </si>
  <si>
    <t>0°</t>
  </si>
  <si>
    <t>32,5°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</si>
</sst>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C828-14DB-4FFC-B0C6-765AB77059C1}">
  <dimension ref="A1:X30"/>
  <sheetViews>
    <sheetView tabSelected="1" topLeftCell="A4" workbookViewId="0">
      <selection activeCell="R17" sqref="R17"/>
    </sheetView>
  </sheetViews>
  <sheetFormatPr baseColWidth="10" defaultRowHeight="15" x14ac:dyDescent="0.25"/>
  <cols>
    <col min="1" max="1" width="15.140625" customWidth="1"/>
    <col min="2" max="2" width="13.5703125" bestFit="1" customWidth="1"/>
    <col min="3" max="3" width="13.85546875" customWidth="1"/>
    <col min="4" max="4" width="9.85546875" bestFit="1" customWidth="1"/>
    <col min="5" max="5" width="11" bestFit="1" customWidth="1"/>
    <col min="6" max="6" width="9.85546875" bestFit="1" customWidth="1"/>
    <col min="7" max="7" width="11" bestFit="1" customWidth="1"/>
    <col min="8" max="8" width="8.85546875" bestFit="1" customWidth="1"/>
    <col min="9" max="9" width="10" bestFit="1" customWidth="1"/>
    <col min="10" max="11" width="11.85546875" bestFit="1" customWidth="1"/>
    <col min="12" max="12" width="10.85546875" bestFit="1" customWidth="1"/>
    <col min="13" max="13" width="8.42578125" customWidth="1"/>
    <col min="15" max="15" width="10.85546875" bestFit="1" customWidth="1"/>
  </cols>
  <sheetData>
    <row r="1" spans="1:24" x14ac:dyDescent="0.25">
      <c r="A1" t="s">
        <v>1</v>
      </c>
      <c r="B1" t="s">
        <v>2</v>
      </c>
      <c r="C1" t="s">
        <v>0</v>
      </c>
      <c r="D1" t="s">
        <v>8</v>
      </c>
      <c r="E1" t="s">
        <v>7</v>
      </c>
      <c r="F1" t="s">
        <v>9</v>
      </c>
      <c r="G1" t="s">
        <v>10</v>
      </c>
      <c r="H1" t="s">
        <v>11</v>
      </c>
      <c r="I1" t="s">
        <v>12</v>
      </c>
      <c r="K1" t="s">
        <v>14</v>
      </c>
      <c r="M1" t="s">
        <v>15</v>
      </c>
      <c r="O1" t="s">
        <v>16</v>
      </c>
      <c r="Q1" t="s">
        <v>17</v>
      </c>
    </row>
    <row r="2" spans="1:24" x14ac:dyDescent="0.25">
      <c r="A2" s="1">
        <v>0</v>
      </c>
      <c r="B2" s="1" t="s">
        <v>3</v>
      </c>
      <c r="C2" s="1" t="s">
        <v>5</v>
      </c>
      <c r="D2" s="1">
        <v>92</v>
      </c>
      <c r="E2" s="1">
        <v>81</v>
      </c>
      <c r="F2" s="1">
        <v>49</v>
      </c>
      <c r="G2" s="1">
        <v>63</v>
      </c>
      <c r="H2" s="1">
        <v>6</v>
      </c>
      <c r="I2" s="1">
        <v>14</v>
      </c>
      <c r="J2" s="1"/>
      <c r="K2" s="1">
        <f>SUM(D2,E2)/2 -90</f>
        <v>-3.5</v>
      </c>
      <c r="L2" s="1"/>
      <c r="M2" s="1">
        <f>SUM(F2,G2)/2 -45</f>
        <v>11</v>
      </c>
      <c r="N2" s="1"/>
      <c r="O2" s="1">
        <f>SUM(H2,I2)/2</f>
        <v>10</v>
      </c>
      <c r="P2" s="1"/>
      <c r="Q2" s="1">
        <f>(ABS(K2)+ABS(M2)+ABS(O2))/3</f>
        <v>8.1666666666666661</v>
      </c>
    </row>
    <row r="3" spans="1:24" s="1" customFormat="1" x14ac:dyDescent="0.25">
      <c r="A3">
        <v>0</v>
      </c>
      <c r="B3" t="s">
        <v>3</v>
      </c>
      <c r="C3" t="s">
        <v>6</v>
      </c>
      <c r="D3">
        <v>88</v>
      </c>
      <c r="E3">
        <v>81</v>
      </c>
      <c r="F3">
        <v>49</v>
      </c>
      <c r="G3">
        <v>63</v>
      </c>
      <c r="H3">
        <v>-6</v>
      </c>
      <c r="I3">
        <v>-14</v>
      </c>
      <c r="J3"/>
      <c r="K3">
        <f t="shared" ref="K3:K13" si="0">SUM(D3,E3)/2 -90</f>
        <v>-5.5</v>
      </c>
      <c r="L3"/>
      <c r="M3">
        <f t="shared" ref="M3:M13" si="1">SUM(F3,G3)/2 -45</f>
        <v>11</v>
      </c>
      <c r="N3"/>
      <c r="O3">
        <f t="shared" ref="O3:O13" si="2">SUM(H3,I3)/2</f>
        <v>-10</v>
      </c>
      <c r="P3"/>
      <c r="Q3">
        <f t="shared" ref="Q3:Q13" si="3">(ABS(K3)+ABS(M3)+ABS(O3))/3</f>
        <v>8.8333333333333339</v>
      </c>
      <c r="R3" s="3"/>
      <c r="S3" s="3"/>
      <c r="T3" s="3"/>
      <c r="U3" s="3"/>
      <c r="V3" s="3"/>
      <c r="W3" s="3"/>
      <c r="X3" s="3"/>
    </row>
    <row r="4" spans="1:24" x14ac:dyDescent="0.25">
      <c r="A4">
        <v>0</v>
      </c>
      <c r="B4" t="s">
        <v>4</v>
      </c>
      <c r="C4" t="s">
        <v>5</v>
      </c>
      <c r="D4">
        <v>81</v>
      </c>
      <c r="E4">
        <v>75</v>
      </c>
      <c r="F4">
        <v>50</v>
      </c>
      <c r="G4">
        <v>64</v>
      </c>
      <c r="H4">
        <v>5</v>
      </c>
      <c r="I4">
        <v>3</v>
      </c>
      <c r="K4">
        <f t="shared" si="0"/>
        <v>-12</v>
      </c>
      <c r="M4">
        <f t="shared" si="1"/>
        <v>12</v>
      </c>
      <c r="O4">
        <f t="shared" si="2"/>
        <v>4</v>
      </c>
      <c r="Q4">
        <f t="shared" si="3"/>
        <v>9.3333333333333339</v>
      </c>
    </row>
    <row r="5" spans="1:24" x14ac:dyDescent="0.25">
      <c r="A5">
        <v>0</v>
      </c>
      <c r="B5" t="s">
        <v>4</v>
      </c>
      <c r="C5" t="s">
        <v>6</v>
      </c>
      <c r="D5">
        <v>90</v>
      </c>
      <c r="E5">
        <v>84</v>
      </c>
      <c r="F5">
        <v>59</v>
      </c>
      <c r="G5">
        <v>73</v>
      </c>
      <c r="H5">
        <v>15</v>
      </c>
      <c r="I5">
        <v>12</v>
      </c>
      <c r="K5">
        <f t="shared" si="0"/>
        <v>-3</v>
      </c>
      <c r="M5">
        <f t="shared" si="1"/>
        <v>21</v>
      </c>
      <c r="O5">
        <f t="shared" si="2"/>
        <v>13.5</v>
      </c>
      <c r="Q5">
        <f t="shared" si="3"/>
        <v>12.5</v>
      </c>
    </row>
    <row r="6" spans="1:24" x14ac:dyDescent="0.25">
      <c r="A6">
        <v>32.5</v>
      </c>
      <c r="B6" t="s">
        <v>3</v>
      </c>
      <c r="C6" t="s">
        <v>5</v>
      </c>
      <c r="D6">
        <v>85</v>
      </c>
      <c r="E6">
        <v>78</v>
      </c>
      <c r="F6">
        <v>85</v>
      </c>
      <c r="G6">
        <v>73</v>
      </c>
      <c r="H6">
        <v>32</v>
      </c>
      <c r="I6">
        <v>20</v>
      </c>
      <c r="K6">
        <f t="shared" si="0"/>
        <v>-8.5</v>
      </c>
      <c r="M6">
        <f t="shared" si="1"/>
        <v>34</v>
      </c>
      <c r="O6">
        <f t="shared" si="2"/>
        <v>26</v>
      </c>
      <c r="Q6">
        <f t="shared" si="3"/>
        <v>22.833333333333332</v>
      </c>
    </row>
    <row r="7" spans="1:24" x14ac:dyDescent="0.25">
      <c r="A7">
        <v>32.5</v>
      </c>
      <c r="B7" t="s">
        <v>3</v>
      </c>
      <c r="C7" t="s">
        <v>6</v>
      </c>
      <c r="D7">
        <v>85</v>
      </c>
      <c r="E7">
        <v>78</v>
      </c>
      <c r="F7">
        <v>85</v>
      </c>
      <c r="G7">
        <v>73</v>
      </c>
      <c r="H7">
        <v>-32</v>
      </c>
      <c r="I7">
        <v>-20</v>
      </c>
      <c r="K7">
        <f t="shared" si="0"/>
        <v>-8.5</v>
      </c>
      <c r="M7">
        <f t="shared" si="1"/>
        <v>34</v>
      </c>
      <c r="O7">
        <f t="shared" si="2"/>
        <v>-26</v>
      </c>
      <c r="Q7">
        <f t="shared" si="3"/>
        <v>22.833333333333332</v>
      </c>
    </row>
    <row r="8" spans="1:24" x14ac:dyDescent="0.25">
      <c r="A8" s="4">
        <v>32.5</v>
      </c>
      <c r="B8" s="4" t="s">
        <v>4</v>
      </c>
      <c r="C8" s="4" t="s">
        <v>5</v>
      </c>
      <c r="D8" s="4">
        <v>59</v>
      </c>
      <c r="E8" s="4">
        <v>55</v>
      </c>
      <c r="F8" s="4">
        <v>61</v>
      </c>
      <c r="G8" s="4">
        <v>50</v>
      </c>
      <c r="H8" s="4">
        <v>9</v>
      </c>
      <c r="I8" s="4">
        <v>2</v>
      </c>
      <c r="J8" s="4"/>
      <c r="K8" s="4">
        <f t="shared" si="0"/>
        <v>-33</v>
      </c>
      <c r="L8" s="4"/>
      <c r="M8" s="4">
        <f t="shared" si="1"/>
        <v>10.5</v>
      </c>
      <c r="N8" s="4"/>
      <c r="O8" s="4">
        <f t="shared" si="2"/>
        <v>5.5</v>
      </c>
      <c r="P8" s="4"/>
      <c r="Q8" s="4">
        <f t="shared" si="3"/>
        <v>16.333333333333332</v>
      </c>
    </row>
    <row r="9" spans="1:24" x14ac:dyDescent="0.25">
      <c r="A9">
        <v>32.5</v>
      </c>
      <c r="B9" t="s">
        <v>4</v>
      </c>
      <c r="C9" t="s">
        <v>6</v>
      </c>
      <c r="D9">
        <v>69</v>
      </c>
      <c r="E9">
        <v>64</v>
      </c>
      <c r="F9">
        <v>71</v>
      </c>
      <c r="G9">
        <v>59</v>
      </c>
      <c r="H9">
        <v>20</v>
      </c>
      <c r="I9">
        <v>12</v>
      </c>
      <c r="K9">
        <f t="shared" si="0"/>
        <v>-23.5</v>
      </c>
      <c r="M9">
        <f t="shared" si="1"/>
        <v>20</v>
      </c>
      <c r="O9">
        <f t="shared" si="2"/>
        <v>16</v>
      </c>
      <c r="Q9">
        <f t="shared" si="3"/>
        <v>19.833333333333332</v>
      </c>
    </row>
    <row r="10" spans="1:24" x14ac:dyDescent="0.25">
      <c r="A10" s="2" t="s">
        <v>13</v>
      </c>
      <c r="B10" s="2" t="s">
        <v>3</v>
      </c>
      <c r="C10" s="2" t="s">
        <v>5</v>
      </c>
      <c r="D10" s="2">
        <v>86</v>
      </c>
      <c r="E10" s="2">
        <v>80</v>
      </c>
      <c r="F10" s="2">
        <v>59</v>
      </c>
      <c r="G10" s="2">
        <v>60</v>
      </c>
      <c r="H10" s="2">
        <v>13</v>
      </c>
      <c r="I10" s="2">
        <v>10</v>
      </c>
      <c r="J10" s="2"/>
      <c r="K10" s="2">
        <f t="shared" si="0"/>
        <v>-7</v>
      </c>
      <c r="L10" s="2"/>
      <c r="M10" s="2">
        <f t="shared" si="1"/>
        <v>14.5</v>
      </c>
      <c r="N10" s="2"/>
      <c r="O10" s="2">
        <f t="shared" si="2"/>
        <v>11.5</v>
      </c>
      <c r="P10" s="2"/>
      <c r="Q10" s="2">
        <f t="shared" si="3"/>
        <v>11</v>
      </c>
    </row>
    <row r="11" spans="1:24" x14ac:dyDescent="0.25">
      <c r="A11" t="s">
        <v>13</v>
      </c>
      <c r="B11" t="s">
        <v>3</v>
      </c>
      <c r="C11" t="s">
        <v>6</v>
      </c>
      <c r="D11">
        <v>86</v>
      </c>
      <c r="E11">
        <v>80</v>
      </c>
      <c r="F11">
        <v>59</v>
      </c>
      <c r="G11">
        <v>60</v>
      </c>
      <c r="H11">
        <v>-13</v>
      </c>
      <c r="I11">
        <v>-10</v>
      </c>
      <c r="K11">
        <f t="shared" si="0"/>
        <v>-7</v>
      </c>
      <c r="M11">
        <f t="shared" si="1"/>
        <v>14.5</v>
      </c>
      <c r="O11">
        <f t="shared" si="2"/>
        <v>-11.5</v>
      </c>
      <c r="Q11">
        <f t="shared" si="3"/>
        <v>11</v>
      </c>
    </row>
    <row r="12" spans="1:24" x14ac:dyDescent="0.25">
      <c r="A12" t="s">
        <v>13</v>
      </c>
      <c r="B12" t="s">
        <v>4</v>
      </c>
      <c r="C12" t="s">
        <v>5</v>
      </c>
      <c r="D12">
        <v>91</v>
      </c>
      <c r="E12">
        <v>91</v>
      </c>
      <c r="F12">
        <v>76</v>
      </c>
      <c r="G12">
        <v>73</v>
      </c>
      <c r="H12">
        <v>29</v>
      </c>
      <c r="I12">
        <v>20</v>
      </c>
      <c r="K12">
        <f t="shared" si="0"/>
        <v>1</v>
      </c>
      <c r="M12">
        <f t="shared" si="1"/>
        <v>29.5</v>
      </c>
      <c r="O12">
        <f t="shared" si="2"/>
        <v>24.5</v>
      </c>
      <c r="Q12">
        <f t="shared" si="3"/>
        <v>18.333333333333332</v>
      </c>
    </row>
    <row r="13" spans="1:24" x14ac:dyDescent="0.25">
      <c r="A13" t="s">
        <v>13</v>
      </c>
      <c r="B13" t="s">
        <v>4</v>
      </c>
      <c r="C13" t="s">
        <v>6</v>
      </c>
      <c r="D13">
        <v>89</v>
      </c>
      <c r="E13">
        <v>89</v>
      </c>
      <c r="F13">
        <v>76</v>
      </c>
      <c r="G13">
        <v>73</v>
      </c>
      <c r="H13">
        <v>29</v>
      </c>
      <c r="I13">
        <v>20</v>
      </c>
      <c r="K13">
        <f t="shared" si="0"/>
        <v>-1</v>
      </c>
      <c r="M13">
        <f t="shared" si="1"/>
        <v>29.5</v>
      </c>
      <c r="O13">
        <f t="shared" si="2"/>
        <v>24.5</v>
      </c>
      <c r="Q13">
        <f t="shared" si="3"/>
        <v>18.333333333333332</v>
      </c>
    </row>
    <row r="22" spans="1:14" x14ac:dyDescent="0.25">
      <c r="A22" s="5" t="s">
        <v>18</v>
      </c>
      <c r="B22" s="5" t="s">
        <v>19</v>
      </c>
      <c r="C22" s="5" t="s">
        <v>20</v>
      </c>
      <c r="D22" s="5" t="s">
        <v>8</v>
      </c>
      <c r="E22" s="5" t="s">
        <v>7</v>
      </c>
      <c r="F22" s="5" t="s">
        <v>9</v>
      </c>
      <c r="G22" s="5" t="s">
        <v>10</v>
      </c>
      <c r="H22" s="5" t="s">
        <v>11</v>
      </c>
      <c r="I22" s="5" t="s">
        <v>12</v>
      </c>
      <c r="J22" s="5" t="s">
        <v>14</v>
      </c>
      <c r="K22" s="5" t="s">
        <v>15</v>
      </c>
      <c r="L22" s="5" t="s">
        <v>16</v>
      </c>
      <c r="M22" s="5" t="s">
        <v>17</v>
      </c>
      <c r="N22" s="5"/>
    </row>
    <row r="23" spans="1:14" x14ac:dyDescent="0.25">
      <c r="A23" s="6" t="s">
        <v>23</v>
      </c>
      <c r="B23" s="6" t="s">
        <v>3</v>
      </c>
      <c r="C23" s="6" t="s">
        <v>5</v>
      </c>
      <c r="D23" s="6">
        <v>92</v>
      </c>
      <c r="E23" s="6">
        <v>81</v>
      </c>
      <c r="F23" s="6">
        <v>49</v>
      </c>
      <c r="G23" s="6">
        <v>63</v>
      </c>
      <c r="H23" s="6">
        <v>6</v>
      </c>
      <c r="I23" s="6">
        <v>14</v>
      </c>
      <c r="J23" s="6">
        <f>SUM(D23,E23)/2 -90</f>
        <v>-3.5</v>
      </c>
      <c r="K23" s="6">
        <f>SUM(F23,G23)/2 -45</f>
        <v>11</v>
      </c>
      <c r="L23" s="6">
        <f>SUM(H23,I23)/2</f>
        <v>10</v>
      </c>
      <c r="M23" s="6">
        <f>(ABS(J23)+ABS(K23)+ABS(L23))/3</f>
        <v>8.1666666666666661</v>
      </c>
      <c r="N23" s="6"/>
    </row>
    <row r="24" spans="1:14" x14ac:dyDescent="0.25">
      <c r="A24" s="5" t="s">
        <v>23</v>
      </c>
      <c r="B24" s="5" t="s">
        <v>22</v>
      </c>
      <c r="C24" s="5" t="s">
        <v>6</v>
      </c>
      <c r="D24" s="5">
        <v>88</v>
      </c>
      <c r="E24" s="5">
        <v>81</v>
      </c>
      <c r="F24" s="5">
        <v>49</v>
      </c>
      <c r="G24" s="5">
        <v>63</v>
      </c>
      <c r="H24" s="5">
        <v>-6</v>
      </c>
      <c r="I24" s="5">
        <v>-14</v>
      </c>
      <c r="J24" s="5">
        <f>SUM(D24,E24)/2 -90</f>
        <v>-5.5</v>
      </c>
      <c r="K24" s="5">
        <f>SUM(F24,G24)/2 -45</f>
        <v>11</v>
      </c>
      <c r="L24" s="5">
        <f>SUM(H24,I24)/2</f>
        <v>-10</v>
      </c>
      <c r="M24" s="5">
        <f>(ABS(J24)+ABS(K24)+ABS(L24))/3</f>
        <v>8.8333333333333339</v>
      </c>
      <c r="N24" s="5"/>
    </row>
    <row r="25" spans="1:14" x14ac:dyDescent="0.25">
      <c r="A25" s="5" t="s">
        <v>23</v>
      </c>
      <c r="B25" s="5" t="s">
        <v>21</v>
      </c>
      <c r="C25" s="5" t="s">
        <v>5</v>
      </c>
      <c r="D25" s="5">
        <v>81</v>
      </c>
      <c r="E25" s="5">
        <v>75</v>
      </c>
      <c r="F25" s="5">
        <v>50</v>
      </c>
      <c r="G25" s="5">
        <v>64</v>
      </c>
      <c r="H25" s="5">
        <v>5</v>
      </c>
      <c r="I25" s="5">
        <v>3</v>
      </c>
      <c r="J25" s="5">
        <f>SUM(D25,E25)/2 -90</f>
        <v>-12</v>
      </c>
      <c r="K25" s="5">
        <f>SUM(F25,G25)/2 -45</f>
        <v>12</v>
      </c>
      <c r="L25" s="5">
        <f>SUM(H25,I25)/2</f>
        <v>4</v>
      </c>
      <c r="M25" s="5">
        <f>(ABS(J25)+ABS(K25)+ABS(L25))/3</f>
        <v>9.3333333333333339</v>
      </c>
      <c r="N25" s="5"/>
    </row>
    <row r="26" spans="1:14" x14ac:dyDescent="0.25">
      <c r="A26" s="5" t="s">
        <v>23</v>
      </c>
      <c r="B26" s="5" t="s">
        <v>21</v>
      </c>
      <c r="C26" s="5" t="s">
        <v>6</v>
      </c>
      <c r="D26" s="5">
        <v>90</v>
      </c>
      <c r="E26" s="5">
        <v>84</v>
      </c>
      <c r="F26" s="5">
        <v>59</v>
      </c>
      <c r="G26" s="5">
        <v>73</v>
      </c>
      <c r="H26" s="5">
        <v>15</v>
      </c>
      <c r="I26" s="5">
        <v>12</v>
      </c>
      <c r="J26" s="5">
        <f>SUM(D26,E26)/2 -90</f>
        <v>-3</v>
      </c>
      <c r="K26" s="5">
        <f>SUM(F26,G26)/2 -45</f>
        <v>21</v>
      </c>
      <c r="L26" s="5">
        <f>SUM(H26,I26)/2</f>
        <v>13.5</v>
      </c>
      <c r="M26" s="5">
        <f>(ABS(J26)+ABS(K26)+ABS(L26))/3</f>
        <v>12.5</v>
      </c>
      <c r="N26" s="5"/>
    </row>
    <row r="27" spans="1:14" x14ac:dyDescent="0.25">
      <c r="A27" s="7" t="s">
        <v>24</v>
      </c>
      <c r="B27" s="5" t="s">
        <v>22</v>
      </c>
      <c r="C27" s="7" t="s">
        <v>5</v>
      </c>
      <c r="D27" s="7">
        <v>86</v>
      </c>
      <c r="E27" s="7">
        <v>80</v>
      </c>
      <c r="F27" s="7">
        <v>59</v>
      </c>
      <c r="G27" s="7">
        <v>60</v>
      </c>
      <c r="H27" s="7">
        <v>13</v>
      </c>
      <c r="I27" s="7">
        <v>10</v>
      </c>
      <c r="J27" s="7">
        <f>SUM(D27,E27)/2 -90</f>
        <v>-7</v>
      </c>
      <c r="K27" s="7">
        <f>SUM(F27,G27)/2 -45</f>
        <v>14.5</v>
      </c>
      <c r="L27" s="7">
        <f>SUM(H27,I27)/2</f>
        <v>11.5</v>
      </c>
      <c r="M27" s="7">
        <f>(ABS(J27)+ABS(K27)+ABS(L27))/3</f>
        <v>11</v>
      </c>
      <c r="N27" s="7"/>
    </row>
    <row r="28" spans="1:14" x14ac:dyDescent="0.25">
      <c r="A28" s="7" t="s">
        <v>24</v>
      </c>
      <c r="B28" s="5" t="s">
        <v>22</v>
      </c>
      <c r="C28" s="5" t="s">
        <v>6</v>
      </c>
      <c r="D28" s="5">
        <v>86</v>
      </c>
      <c r="E28" s="5">
        <v>80</v>
      </c>
      <c r="F28" s="5">
        <v>59</v>
      </c>
      <c r="G28" s="5">
        <v>60</v>
      </c>
      <c r="H28" s="5">
        <v>-13</v>
      </c>
      <c r="I28" s="5">
        <v>-10</v>
      </c>
      <c r="J28" s="5">
        <f>SUM(D28,E28)/2 -90</f>
        <v>-7</v>
      </c>
      <c r="K28" s="5">
        <f>SUM(F28,G28)/2 -45</f>
        <v>14.5</v>
      </c>
      <c r="L28" s="5">
        <f>SUM(H28,I28)/2</f>
        <v>-11.5</v>
      </c>
      <c r="M28" s="5">
        <f>(ABS(J28)+ABS(K28)+ABS(L28))/3</f>
        <v>11</v>
      </c>
      <c r="N28" s="5"/>
    </row>
    <row r="29" spans="1:14" x14ac:dyDescent="0.25">
      <c r="A29" s="7" t="s">
        <v>24</v>
      </c>
      <c r="B29" s="5" t="s">
        <v>21</v>
      </c>
      <c r="C29" s="5" t="s">
        <v>5</v>
      </c>
      <c r="D29" s="5">
        <v>91</v>
      </c>
      <c r="E29" s="5">
        <v>91</v>
      </c>
      <c r="F29" s="5">
        <v>76</v>
      </c>
      <c r="G29" s="5">
        <v>73</v>
      </c>
      <c r="H29" s="5">
        <v>29</v>
      </c>
      <c r="I29" s="5">
        <v>20</v>
      </c>
      <c r="J29" s="5">
        <f>SUM(D29,E29)/2 -90</f>
        <v>1</v>
      </c>
      <c r="K29" s="5">
        <f>SUM(F29,G29)/2 -45</f>
        <v>29.5</v>
      </c>
      <c r="L29" s="5">
        <f>SUM(H29,I29)/2</f>
        <v>24.5</v>
      </c>
      <c r="M29" s="5">
        <f>(ABS(J29)+ABS(K29)+ABS(L29))/3</f>
        <v>18.333333333333332</v>
      </c>
      <c r="N29" s="5"/>
    </row>
    <row r="30" spans="1:14" x14ac:dyDescent="0.25">
      <c r="A30" s="7" t="s">
        <v>24</v>
      </c>
      <c r="B30" s="5" t="s">
        <v>21</v>
      </c>
      <c r="C30" s="5" t="s">
        <v>6</v>
      </c>
      <c r="D30" s="5">
        <v>89</v>
      </c>
      <c r="E30" s="5">
        <v>89</v>
      </c>
      <c r="F30" s="5">
        <v>76</v>
      </c>
      <c r="G30" s="5">
        <v>73</v>
      </c>
      <c r="H30" s="5">
        <v>29</v>
      </c>
      <c r="I30" s="5">
        <v>20</v>
      </c>
      <c r="J30" s="5">
        <f>SUM(D30,E30)/2 -90</f>
        <v>-1</v>
      </c>
      <c r="K30" s="5">
        <f>SUM(F30,G30)/2 -45</f>
        <v>29.5</v>
      </c>
      <c r="L30" s="5">
        <f>SUM(H30,I30)/2</f>
        <v>24.5</v>
      </c>
      <c r="M30" s="5">
        <f>(ABS(J30)+ABS(K30)+ABS(L30))/3</f>
        <v>18.333333333333332</v>
      </c>
      <c r="N30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w.</dc:creator>
  <cp:lastModifiedBy>jonas w.</cp:lastModifiedBy>
  <dcterms:created xsi:type="dcterms:W3CDTF">2026-07-09T14:04:25Z</dcterms:created>
  <dcterms:modified xsi:type="dcterms:W3CDTF">2026-07-27T19:59:16Z</dcterms:modified>
</cp:coreProperties>
</file>