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mpelman\Desktop\Masterarbeit\armwinkel auswertung\"/>
    </mc:Choice>
  </mc:AlternateContent>
  <xr:revisionPtr revIDLastSave="0" documentId="13_ncr:1_{5A21B09F-5308-4104-9E32-7EFEEE97D423}" xr6:coauthVersionLast="47" xr6:coauthVersionMax="47" xr10:uidLastSave="{00000000-0000-0000-0000-000000000000}"/>
  <bookViews>
    <workbookView xWindow="-120" yWindow="-120" windowWidth="29040" windowHeight="15840" xr2:uid="{4B6C38A1-A2E0-47AD-A4A2-CC2594FC12BF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2" i="1" l="1"/>
  <c r="Q3" i="1"/>
  <c r="Q4" i="1"/>
  <c r="Q5" i="1"/>
  <c r="Q6" i="1"/>
  <c r="Q7" i="1"/>
  <c r="Q8" i="1"/>
  <c r="Q9" i="1"/>
  <c r="Q10" i="1"/>
  <c r="Q11" i="1"/>
  <c r="Q12" i="1"/>
  <c r="Q13" i="1"/>
  <c r="M3" i="1"/>
  <c r="M4" i="1"/>
  <c r="M5" i="1"/>
  <c r="M6" i="1"/>
  <c r="M7" i="1"/>
  <c r="M8" i="1"/>
  <c r="M9" i="1"/>
  <c r="M10" i="1"/>
  <c r="M11" i="1"/>
  <c r="M12" i="1"/>
  <c r="M13" i="1"/>
  <c r="O2" i="1"/>
  <c r="M2" i="1"/>
  <c r="K3" i="1"/>
  <c r="K4" i="1"/>
  <c r="K5" i="1"/>
  <c r="K6" i="1"/>
  <c r="K7" i="1"/>
  <c r="K8" i="1"/>
  <c r="K9" i="1"/>
  <c r="K10" i="1"/>
  <c r="K11" i="1"/>
  <c r="K12" i="1"/>
  <c r="K13" i="1"/>
  <c r="K2" i="1"/>
  <c r="O3" i="1"/>
  <c r="O4" i="1"/>
  <c r="O5" i="1"/>
  <c r="O6" i="1"/>
  <c r="O7" i="1"/>
  <c r="O8" i="1"/>
  <c r="O9" i="1"/>
  <c r="O10" i="1"/>
  <c r="O11" i="1"/>
  <c r="O12" i="1"/>
  <c r="O13" i="1"/>
</calcChain>
</file>

<file path=xl/sharedStrings.xml><?xml version="1.0" encoding="utf-8"?>
<sst xmlns="http://schemas.openxmlformats.org/spreadsheetml/2006/main" count="41" uniqueCount="18">
  <si>
    <t>referenze achse</t>
  </si>
  <si>
    <t>kamera neigung</t>
  </si>
  <si>
    <t>winkel punkt</t>
  </si>
  <si>
    <t>schulter</t>
  </si>
  <si>
    <t>brust</t>
  </si>
  <si>
    <t>z</t>
  </si>
  <si>
    <t>x</t>
  </si>
  <si>
    <t>90° (rechts)</t>
  </si>
  <si>
    <t>90° (links)</t>
  </si>
  <si>
    <t>45° (links)</t>
  </si>
  <si>
    <t>45° (rechts)</t>
  </si>
  <si>
    <t>0° (links)</t>
  </si>
  <si>
    <t>0° (rechts)</t>
  </si>
  <si>
    <t>32,5 (world corrds)</t>
  </si>
  <si>
    <t>90° mitte diff</t>
  </si>
  <si>
    <t xml:space="preserve">45° mitte diff </t>
  </si>
  <si>
    <t>0° mitte diff</t>
  </si>
  <si>
    <t>total 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</si>
</sst>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EC828-14DB-4FFC-B0C6-765AB77059C1}">
  <dimension ref="A1:X13"/>
  <sheetViews>
    <sheetView tabSelected="1" workbookViewId="0">
      <selection activeCell="E20" sqref="E20"/>
    </sheetView>
  </sheetViews>
  <sheetFormatPr baseColWidth="10" defaultRowHeight="15" x14ac:dyDescent="0.25"/>
  <cols>
    <col min="1" max="1" width="17.7109375" bestFit="1" customWidth="1"/>
    <col min="2" max="2" width="13.5703125" bestFit="1" customWidth="1"/>
    <col min="3" max="3" width="14.7109375" bestFit="1" customWidth="1"/>
    <col min="4" max="4" width="9.85546875" bestFit="1" customWidth="1"/>
    <col min="5" max="5" width="11" bestFit="1" customWidth="1"/>
    <col min="6" max="6" width="9.85546875" bestFit="1" customWidth="1"/>
    <col min="7" max="7" width="11" bestFit="1" customWidth="1"/>
    <col min="8" max="8" width="8.85546875" bestFit="1" customWidth="1"/>
    <col min="9" max="9" width="10" bestFit="1" customWidth="1"/>
    <col min="10" max="10" width="8.5703125" bestFit="1" customWidth="1"/>
    <col min="11" max="11" width="11.85546875" bestFit="1" customWidth="1"/>
    <col min="12" max="12" width="7.5703125" bestFit="1" customWidth="1"/>
    <col min="13" max="13" width="12.28515625" bestFit="1" customWidth="1"/>
    <col min="15" max="15" width="10.85546875" bestFit="1" customWidth="1"/>
  </cols>
  <sheetData>
    <row r="1" spans="1:24" x14ac:dyDescent="0.25">
      <c r="A1" t="s">
        <v>1</v>
      </c>
      <c r="B1" t="s">
        <v>2</v>
      </c>
      <c r="C1" t="s">
        <v>0</v>
      </c>
      <c r="D1" t="s">
        <v>8</v>
      </c>
      <c r="E1" t="s">
        <v>7</v>
      </c>
      <c r="F1" t="s">
        <v>9</v>
      </c>
      <c r="G1" t="s">
        <v>10</v>
      </c>
      <c r="H1" t="s">
        <v>11</v>
      </c>
      <c r="I1" t="s">
        <v>12</v>
      </c>
      <c r="K1" t="s">
        <v>14</v>
      </c>
      <c r="M1" t="s">
        <v>15</v>
      </c>
      <c r="O1" t="s">
        <v>16</v>
      </c>
      <c r="Q1" t="s">
        <v>17</v>
      </c>
    </row>
    <row r="2" spans="1:24" x14ac:dyDescent="0.25">
      <c r="A2" s="1">
        <v>0</v>
      </c>
      <c r="B2" s="1" t="s">
        <v>3</v>
      </c>
      <c r="C2" s="1" t="s">
        <v>5</v>
      </c>
      <c r="D2" s="1">
        <v>92</v>
      </c>
      <c r="E2" s="1">
        <v>81</v>
      </c>
      <c r="F2" s="1">
        <v>49</v>
      </c>
      <c r="G2" s="1">
        <v>63</v>
      </c>
      <c r="H2" s="1">
        <v>6</v>
      </c>
      <c r="I2" s="1">
        <v>14</v>
      </c>
      <c r="J2" s="1"/>
      <c r="K2" s="1">
        <f>SUM(D2,E2)/2 -90</f>
        <v>-3.5</v>
      </c>
      <c r="L2" s="1"/>
      <c r="M2" s="1">
        <f>SUM(F2,G2)/2 -45</f>
        <v>11</v>
      </c>
      <c r="N2" s="1"/>
      <c r="O2" s="1">
        <f>SUM(H2,I2)/2</f>
        <v>10</v>
      </c>
      <c r="P2" s="1"/>
      <c r="Q2" s="1">
        <f>(ABS(K2)+ABS(M2)+ABS(O2))/3</f>
        <v>8.1666666666666661</v>
      </c>
    </row>
    <row r="3" spans="1:24" s="1" customFormat="1" x14ac:dyDescent="0.25">
      <c r="A3" s="5">
        <v>0</v>
      </c>
      <c r="B3" s="5" t="s">
        <v>3</v>
      </c>
      <c r="C3" s="5" t="s">
        <v>6</v>
      </c>
      <c r="D3" s="5">
        <v>88</v>
      </c>
      <c r="E3" s="5">
        <v>81</v>
      </c>
      <c r="F3" s="5">
        <v>49</v>
      </c>
      <c r="G3" s="5">
        <v>63</v>
      </c>
      <c r="H3" s="5">
        <v>-6</v>
      </c>
      <c r="I3" s="5">
        <v>-14</v>
      </c>
      <c r="J3" s="5"/>
      <c r="K3" s="5">
        <f t="shared" ref="K3:K13" si="0">SUM(D3,E3)/2 -90</f>
        <v>-5.5</v>
      </c>
      <c r="L3" s="5"/>
      <c r="M3" s="5">
        <f t="shared" ref="M3:M13" si="1">SUM(F3,G3)/2 -45</f>
        <v>11</v>
      </c>
      <c r="N3" s="5"/>
      <c r="O3" s="5">
        <f t="shared" ref="O3:O13" si="2">SUM(H3,I3)/2</f>
        <v>-10</v>
      </c>
      <c r="P3" s="5"/>
      <c r="Q3" s="5">
        <f t="shared" ref="Q3:Q13" si="3">(ABS(K3)+ABS(M3)+ABS(O3))/3</f>
        <v>8.8333333333333339</v>
      </c>
      <c r="R3" s="3"/>
      <c r="S3" s="3"/>
      <c r="T3" s="3"/>
      <c r="U3" s="3"/>
      <c r="V3" s="3"/>
      <c r="W3" s="3"/>
      <c r="X3" s="3"/>
    </row>
    <row r="4" spans="1:24" x14ac:dyDescent="0.25">
      <c r="A4">
        <v>0</v>
      </c>
      <c r="B4" t="s">
        <v>4</v>
      </c>
      <c r="C4" t="s">
        <v>5</v>
      </c>
      <c r="D4">
        <v>81</v>
      </c>
      <c r="E4">
        <v>75</v>
      </c>
      <c r="F4">
        <v>50</v>
      </c>
      <c r="G4">
        <v>64</v>
      </c>
      <c r="H4">
        <v>5</v>
      </c>
      <c r="I4">
        <v>3</v>
      </c>
      <c r="K4">
        <f t="shared" si="0"/>
        <v>-12</v>
      </c>
      <c r="M4">
        <f t="shared" si="1"/>
        <v>12</v>
      </c>
      <c r="O4">
        <f t="shared" si="2"/>
        <v>4</v>
      </c>
      <c r="Q4">
        <f t="shared" si="3"/>
        <v>9.3333333333333339</v>
      </c>
    </row>
    <row r="5" spans="1:24" x14ac:dyDescent="0.25">
      <c r="A5">
        <v>0</v>
      </c>
      <c r="B5" t="s">
        <v>4</v>
      </c>
      <c r="C5" t="s">
        <v>6</v>
      </c>
      <c r="D5">
        <v>90</v>
      </c>
      <c r="E5">
        <v>84</v>
      </c>
      <c r="F5">
        <v>59</v>
      </c>
      <c r="G5">
        <v>73</v>
      </c>
      <c r="H5">
        <v>15</v>
      </c>
      <c r="I5">
        <v>12</v>
      </c>
      <c r="K5">
        <f t="shared" si="0"/>
        <v>-3</v>
      </c>
      <c r="M5">
        <f t="shared" si="1"/>
        <v>21</v>
      </c>
      <c r="O5">
        <f t="shared" si="2"/>
        <v>13.5</v>
      </c>
      <c r="Q5">
        <f t="shared" si="3"/>
        <v>12.5</v>
      </c>
    </row>
    <row r="6" spans="1:24" x14ac:dyDescent="0.25">
      <c r="A6" s="5">
        <v>32.5</v>
      </c>
      <c r="B6" s="5" t="s">
        <v>3</v>
      </c>
      <c r="C6" s="5" t="s">
        <v>5</v>
      </c>
      <c r="D6" s="5">
        <v>85</v>
      </c>
      <c r="E6" s="5">
        <v>78</v>
      </c>
      <c r="F6" s="5">
        <v>85</v>
      </c>
      <c r="G6" s="5">
        <v>73</v>
      </c>
      <c r="H6" s="5">
        <v>32</v>
      </c>
      <c r="I6" s="5">
        <v>20</v>
      </c>
      <c r="J6" s="5"/>
      <c r="K6" s="5">
        <f t="shared" si="0"/>
        <v>-8.5</v>
      </c>
      <c r="L6" s="5"/>
      <c r="M6" s="5">
        <f t="shared" si="1"/>
        <v>34</v>
      </c>
      <c r="N6" s="5"/>
      <c r="O6" s="5">
        <f t="shared" si="2"/>
        <v>26</v>
      </c>
      <c r="P6" s="5"/>
      <c r="Q6" s="5">
        <f t="shared" si="3"/>
        <v>22.833333333333332</v>
      </c>
    </row>
    <row r="7" spans="1:24" x14ac:dyDescent="0.25">
      <c r="A7" s="5">
        <v>32.5</v>
      </c>
      <c r="B7" s="5" t="s">
        <v>3</v>
      </c>
      <c r="C7" s="5" t="s">
        <v>6</v>
      </c>
      <c r="D7" s="5">
        <v>85</v>
      </c>
      <c r="E7" s="5">
        <v>78</v>
      </c>
      <c r="F7" s="5">
        <v>85</v>
      </c>
      <c r="G7" s="5">
        <v>73</v>
      </c>
      <c r="H7" s="5">
        <v>-32</v>
      </c>
      <c r="I7" s="5">
        <v>-20</v>
      </c>
      <c r="J7" s="5"/>
      <c r="K7" s="5">
        <f t="shared" si="0"/>
        <v>-8.5</v>
      </c>
      <c r="L7" s="5"/>
      <c r="M7" s="5">
        <f t="shared" si="1"/>
        <v>34</v>
      </c>
      <c r="N7" s="5"/>
      <c r="O7" s="5">
        <f t="shared" si="2"/>
        <v>-26</v>
      </c>
      <c r="P7" s="5"/>
      <c r="Q7" s="5">
        <f t="shared" si="3"/>
        <v>22.833333333333332</v>
      </c>
    </row>
    <row r="8" spans="1:24" x14ac:dyDescent="0.25">
      <c r="A8" s="4">
        <v>32.5</v>
      </c>
      <c r="B8" s="4" t="s">
        <v>4</v>
      </c>
      <c r="C8" s="4" t="s">
        <v>5</v>
      </c>
      <c r="D8" s="4">
        <v>59</v>
      </c>
      <c r="E8" s="4">
        <v>55</v>
      </c>
      <c r="F8" s="4">
        <v>61</v>
      </c>
      <c r="G8" s="4">
        <v>50</v>
      </c>
      <c r="H8" s="4">
        <v>9</v>
      </c>
      <c r="I8" s="4">
        <v>2</v>
      </c>
      <c r="J8" s="4"/>
      <c r="K8" s="4">
        <f t="shared" si="0"/>
        <v>-33</v>
      </c>
      <c r="L8" s="4"/>
      <c r="M8" s="4">
        <f t="shared" si="1"/>
        <v>10.5</v>
      </c>
      <c r="N8" s="4"/>
      <c r="O8" s="4">
        <f t="shared" si="2"/>
        <v>5.5</v>
      </c>
      <c r="P8" s="4"/>
      <c r="Q8" s="4">
        <f t="shared" si="3"/>
        <v>16.333333333333332</v>
      </c>
    </row>
    <row r="9" spans="1:24" x14ac:dyDescent="0.25">
      <c r="A9">
        <v>32.5</v>
      </c>
      <c r="B9" t="s">
        <v>4</v>
      </c>
      <c r="C9" t="s">
        <v>6</v>
      </c>
      <c r="D9">
        <v>69</v>
      </c>
      <c r="E9">
        <v>64</v>
      </c>
      <c r="F9">
        <v>71</v>
      </c>
      <c r="G9">
        <v>59</v>
      </c>
      <c r="H9">
        <v>20</v>
      </c>
      <c r="I9">
        <v>12</v>
      </c>
      <c r="K9">
        <f t="shared" si="0"/>
        <v>-23.5</v>
      </c>
      <c r="M9">
        <f t="shared" si="1"/>
        <v>20</v>
      </c>
      <c r="O9">
        <f t="shared" si="2"/>
        <v>16</v>
      </c>
      <c r="Q9">
        <f t="shared" si="3"/>
        <v>19.833333333333332</v>
      </c>
    </row>
    <row r="10" spans="1:24" x14ac:dyDescent="0.25">
      <c r="A10" s="2" t="s">
        <v>13</v>
      </c>
      <c r="B10" s="2" t="s">
        <v>3</v>
      </c>
      <c r="C10" s="2" t="s">
        <v>5</v>
      </c>
      <c r="D10" s="2">
        <v>86</v>
      </c>
      <c r="E10" s="2">
        <v>80</v>
      </c>
      <c r="F10" s="2">
        <v>59</v>
      </c>
      <c r="G10" s="2">
        <v>60</v>
      </c>
      <c r="H10" s="2">
        <v>13</v>
      </c>
      <c r="I10" s="2">
        <v>10</v>
      </c>
      <c r="J10" s="2"/>
      <c r="K10" s="2">
        <f t="shared" si="0"/>
        <v>-7</v>
      </c>
      <c r="L10" s="2"/>
      <c r="M10" s="2">
        <f t="shared" si="1"/>
        <v>14.5</v>
      </c>
      <c r="N10" s="2"/>
      <c r="O10" s="2">
        <f t="shared" si="2"/>
        <v>11.5</v>
      </c>
      <c r="P10" s="2"/>
      <c r="Q10" s="2">
        <f t="shared" si="3"/>
        <v>11</v>
      </c>
    </row>
    <row r="11" spans="1:24" x14ac:dyDescent="0.25">
      <c r="A11" s="5" t="s">
        <v>13</v>
      </c>
      <c r="B11" s="5" t="s">
        <v>3</v>
      </c>
      <c r="C11" s="5" t="s">
        <v>6</v>
      </c>
      <c r="D11" s="5">
        <v>86</v>
      </c>
      <c r="E11" s="5">
        <v>80</v>
      </c>
      <c r="F11" s="5">
        <v>59</v>
      </c>
      <c r="G11" s="5">
        <v>60</v>
      </c>
      <c r="H11" s="5">
        <v>-13</v>
      </c>
      <c r="I11" s="5">
        <v>-10</v>
      </c>
      <c r="J11" s="5"/>
      <c r="K11" s="5">
        <f t="shared" si="0"/>
        <v>-7</v>
      </c>
      <c r="L11" s="5"/>
      <c r="M11" s="5">
        <f t="shared" si="1"/>
        <v>14.5</v>
      </c>
      <c r="N11" s="5"/>
      <c r="O11" s="5">
        <f t="shared" si="2"/>
        <v>-11.5</v>
      </c>
      <c r="P11" s="5"/>
      <c r="Q11" s="5">
        <f t="shared" si="3"/>
        <v>11</v>
      </c>
    </row>
    <row r="12" spans="1:24" x14ac:dyDescent="0.25">
      <c r="A12" t="s">
        <v>13</v>
      </c>
      <c r="B12" t="s">
        <v>4</v>
      </c>
      <c r="C12" t="s">
        <v>5</v>
      </c>
      <c r="D12">
        <v>91</v>
      </c>
      <c r="E12">
        <v>91</v>
      </c>
      <c r="F12">
        <v>76</v>
      </c>
      <c r="G12">
        <v>73</v>
      </c>
      <c r="H12">
        <v>29</v>
      </c>
      <c r="I12">
        <v>20</v>
      </c>
      <c r="K12">
        <f t="shared" si="0"/>
        <v>1</v>
      </c>
      <c r="M12">
        <f t="shared" si="1"/>
        <v>29.5</v>
      </c>
      <c r="O12">
        <f t="shared" si="2"/>
        <v>24.5</v>
      </c>
      <c r="Q12">
        <f t="shared" si="3"/>
        <v>18.333333333333332</v>
      </c>
    </row>
    <row r="13" spans="1:24" x14ac:dyDescent="0.25">
      <c r="A13" t="s">
        <v>13</v>
      </c>
      <c r="B13" t="s">
        <v>4</v>
      </c>
      <c r="C13" t="s">
        <v>6</v>
      </c>
      <c r="D13">
        <v>89</v>
      </c>
      <c r="E13">
        <v>89</v>
      </c>
      <c r="F13">
        <v>76</v>
      </c>
      <c r="G13">
        <v>73</v>
      </c>
      <c r="H13">
        <v>29</v>
      </c>
      <c r="I13">
        <v>20</v>
      </c>
      <c r="K13">
        <f t="shared" si="0"/>
        <v>-1</v>
      </c>
      <c r="M13">
        <f t="shared" si="1"/>
        <v>29.5</v>
      </c>
      <c r="O13">
        <f t="shared" si="2"/>
        <v>24.5</v>
      </c>
      <c r="Q13">
        <f t="shared" si="3"/>
        <v>18.333333333333332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w.</dc:creator>
  <cp:lastModifiedBy>jonas w.</cp:lastModifiedBy>
  <dcterms:created xsi:type="dcterms:W3CDTF">2026-07-09T14:04:25Z</dcterms:created>
  <dcterms:modified xsi:type="dcterms:W3CDTF">2026-07-13T16:43:39Z</dcterms:modified>
</cp:coreProperties>
</file>