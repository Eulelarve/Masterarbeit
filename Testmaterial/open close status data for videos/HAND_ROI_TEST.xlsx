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pelman\Desktop\Masterarbeit\open close status data for videos\"/>
    </mc:Choice>
  </mc:AlternateContent>
  <xr:revisionPtr revIDLastSave="0" documentId="13_ncr:9_{D9A2CE86-7F6E-4A60-84A2-EEDBECDCB00E}" xr6:coauthVersionLast="47" xr6:coauthVersionMax="47" xr10:uidLastSave="{00000000-0000-0000-0000-000000000000}"/>
  <bookViews>
    <workbookView xWindow="-120" yWindow="-120" windowWidth="29040" windowHeight="15840" xr2:uid="{6E20D7F2-1690-4ED5-9A08-29135C527042}"/>
  </bookViews>
  <sheets>
    <sheet name="Tabelle4" sheetId="7" r:id="rId1"/>
    <sheet name="HAND_ROI_TEST_excel" sheetId="2" r:id="rId2"/>
    <sheet name="HAND_ROI_TEST" sheetId="1" r:id="rId3"/>
  </sheets>
  <definedNames>
    <definedName name="ExterneDaten_1" localSheetId="1" hidden="1">HAND_ROI_TEST_excel!$A$1:$G$36</definedName>
  </definedNames>
  <calcPr calcId="0"/>
  <pivotCaches>
    <pivotCache cacheId="20" r:id="rId4"/>
  </pivotCaches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A2FA1E-B233-4C5D-9194-EA10CB857212}" keepAlive="1" name="Abfrage - HAND_ROI_TEST" description="Verbindung mit der Abfrage 'HAND_ROI_TEST' in der Arbeitsmappe." type="5" refreshedVersion="8" background="1" saveData="1">
    <dbPr connection="Provider=Microsoft.Mashup.OleDb.1;Data Source=$Workbook$;Location=HAND_ROI_TEST;Extended Properties=&quot;&quot;" command="SELECT * FROM [HAND_ROI_TEST]"/>
  </connection>
</connections>
</file>

<file path=xl/sharedStrings.xml><?xml version="1.0" encoding="utf-8"?>
<sst xmlns="http://schemas.openxmlformats.org/spreadsheetml/2006/main" count="53" uniqueCount="17">
  <si>
    <t>name</t>
  </si>
  <si>
    <t>frame_x</t>
  </si>
  <si>
    <t>frame_y</t>
  </si>
  <si>
    <t>roi_size</t>
  </si>
  <si>
    <t>frame_counter</t>
  </si>
  <si>
    <t>frame_counter_hand</t>
  </si>
  <si>
    <t>hand_rate</t>
  </si>
  <si>
    <t>Zeilenbeschriftungen</t>
  </si>
  <si>
    <t>Gesamtergebnis</t>
  </si>
  <si>
    <t>Spaltenbeschriftungen</t>
  </si>
  <si>
    <t xml:space="preserve">V1_32.5deg_720p_long_sleeves </t>
  </si>
  <si>
    <t>V2_0deg_720p_short_sleeves</t>
  </si>
  <si>
    <t>V3_0deg_480p_short_sleeves</t>
  </si>
  <si>
    <t>V4_32.5deg_720p_short_sleeves</t>
  </si>
  <si>
    <t>V5_32.5deg_480p_short_sleeves</t>
  </si>
  <si>
    <t>hand_rate%</t>
  </si>
  <si>
    <t>Summe von hand_rate%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</si>
</sst>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[HAND_ROI_TEST_excel.csv.xlsx]Tabelle4!PivotTable4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Tabelle4!$B$3:$B$4</c:f>
              <c:strCache>
                <c:ptCount val="1"/>
                <c:pt idx="0">
                  <c:v>V1_32.5deg_720p_long_sleeves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Tabelle4!$A$5:$A$12</c:f>
              <c:strCache>
                <c:ptCount val="7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</c:strCache>
            </c:strRef>
          </c:cat>
          <c:val>
            <c:numRef>
              <c:f>Tabelle4!$B$5:$B$12</c:f>
              <c:numCache>
                <c:formatCode>General</c:formatCode>
                <c:ptCount val="7"/>
                <c:pt idx="0">
                  <c:v>61.4</c:v>
                </c:pt>
                <c:pt idx="1">
                  <c:v>74.8</c:v>
                </c:pt>
                <c:pt idx="2">
                  <c:v>91</c:v>
                </c:pt>
                <c:pt idx="3">
                  <c:v>93.1</c:v>
                </c:pt>
                <c:pt idx="4">
                  <c:v>93.4</c:v>
                </c:pt>
                <c:pt idx="5">
                  <c:v>93.9</c:v>
                </c:pt>
                <c:pt idx="6">
                  <c:v>92.4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87-46F6-B71C-0F94CE8B9E86}"/>
            </c:ext>
          </c:extLst>
        </c:ser>
        <c:ser>
          <c:idx val="1"/>
          <c:order val="1"/>
          <c:tx>
            <c:strRef>
              <c:f>Tabelle4!$C$3:$C$4</c:f>
              <c:strCache>
                <c:ptCount val="1"/>
                <c:pt idx="0">
                  <c:v>V2_0deg_720p_short_sleeves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Tabelle4!$A$5:$A$12</c:f>
              <c:strCache>
                <c:ptCount val="7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</c:strCache>
            </c:strRef>
          </c:cat>
          <c:val>
            <c:numRef>
              <c:f>Tabelle4!$C$5:$C$12</c:f>
              <c:numCache>
                <c:formatCode>General</c:formatCode>
                <c:ptCount val="7"/>
                <c:pt idx="0">
                  <c:v>60.4</c:v>
                </c:pt>
                <c:pt idx="1">
                  <c:v>39.700000000000003</c:v>
                </c:pt>
                <c:pt idx="2">
                  <c:v>69.599999999999994</c:v>
                </c:pt>
                <c:pt idx="3">
                  <c:v>78.5</c:v>
                </c:pt>
                <c:pt idx="4">
                  <c:v>80.900000000000006</c:v>
                </c:pt>
                <c:pt idx="5">
                  <c:v>82.7</c:v>
                </c:pt>
                <c:pt idx="6">
                  <c:v>81.900000000000006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87-46F6-B71C-0F94CE8B9E86}"/>
            </c:ext>
          </c:extLst>
        </c:ser>
        <c:ser>
          <c:idx val="2"/>
          <c:order val="2"/>
          <c:tx>
            <c:strRef>
              <c:f>Tabelle4!$D$3:$D$4</c:f>
              <c:strCache>
                <c:ptCount val="1"/>
                <c:pt idx="0">
                  <c:v>V3_0deg_480p_short_sleeves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Tabelle4!$A$5:$A$12</c:f>
              <c:strCache>
                <c:ptCount val="7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</c:strCache>
            </c:strRef>
          </c:cat>
          <c:val>
            <c:numRef>
              <c:f>Tabelle4!$D$5:$D$12</c:f>
              <c:numCache>
                <c:formatCode>General</c:formatCode>
                <c:ptCount val="7"/>
                <c:pt idx="0">
                  <c:v>72.8</c:v>
                </c:pt>
                <c:pt idx="1">
                  <c:v>72.8</c:v>
                </c:pt>
                <c:pt idx="2">
                  <c:v>83.9</c:v>
                </c:pt>
                <c:pt idx="3">
                  <c:v>84.3</c:v>
                </c:pt>
                <c:pt idx="4">
                  <c:v>85.6</c:v>
                </c:pt>
                <c:pt idx="5">
                  <c:v>85.4</c:v>
                </c:pt>
                <c:pt idx="6">
                  <c:v>89.4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87-46F6-B71C-0F94CE8B9E86}"/>
            </c:ext>
          </c:extLst>
        </c:ser>
        <c:ser>
          <c:idx val="3"/>
          <c:order val="3"/>
          <c:tx>
            <c:strRef>
              <c:f>Tabelle4!$E$3:$E$4</c:f>
              <c:strCache>
                <c:ptCount val="1"/>
                <c:pt idx="0">
                  <c:v>V4_32.5deg_720p_short_sleeves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Tabelle4!$A$5:$A$12</c:f>
              <c:strCache>
                <c:ptCount val="7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</c:strCache>
            </c:strRef>
          </c:cat>
          <c:val>
            <c:numRef>
              <c:f>Tabelle4!$E$5:$E$12</c:f>
              <c:numCache>
                <c:formatCode>General</c:formatCode>
                <c:ptCount val="7"/>
                <c:pt idx="0">
                  <c:v>29.8</c:v>
                </c:pt>
                <c:pt idx="1">
                  <c:v>53.2</c:v>
                </c:pt>
                <c:pt idx="2">
                  <c:v>78.400000000000006</c:v>
                </c:pt>
                <c:pt idx="3">
                  <c:v>83.7</c:v>
                </c:pt>
                <c:pt idx="4">
                  <c:v>85.2</c:v>
                </c:pt>
                <c:pt idx="5">
                  <c:v>86.2</c:v>
                </c:pt>
                <c:pt idx="6">
                  <c:v>87.2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87-46F6-B71C-0F94CE8B9E86}"/>
            </c:ext>
          </c:extLst>
        </c:ser>
        <c:ser>
          <c:idx val="4"/>
          <c:order val="4"/>
          <c:tx>
            <c:strRef>
              <c:f>Tabelle4!$F$3:$F$4</c:f>
              <c:strCache>
                <c:ptCount val="1"/>
                <c:pt idx="0">
                  <c:v>V5_32.5deg_480p_short_sleeves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Tabelle4!$A$5:$A$12</c:f>
              <c:strCache>
                <c:ptCount val="7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</c:strCache>
            </c:strRef>
          </c:cat>
          <c:val>
            <c:numRef>
              <c:f>Tabelle4!$F$5:$F$12</c:f>
              <c:numCache>
                <c:formatCode>General</c:formatCode>
                <c:ptCount val="7"/>
                <c:pt idx="0">
                  <c:v>34</c:v>
                </c:pt>
                <c:pt idx="1">
                  <c:v>73</c:v>
                </c:pt>
                <c:pt idx="2">
                  <c:v>85.7</c:v>
                </c:pt>
                <c:pt idx="3">
                  <c:v>87.5</c:v>
                </c:pt>
                <c:pt idx="4">
                  <c:v>86.8</c:v>
                </c:pt>
                <c:pt idx="5">
                  <c:v>86.5</c:v>
                </c:pt>
                <c:pt idx="6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87-46F6-B71C-0F94CE8B9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873392"/>
        <c:axId val="149861392"/>
      </c:lineChart>
      <c:catAx>
        <c:axId val="149873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ROI size [pixel]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9861392"/>
        <c:crosses val="autoZero"/>
        <c:auto val="1"/>
        <c:lblAlgn val="ctr"/>
        <c:lblOffset val="100"/>
        <c:noMultiLvlLbl val="0"/>
      </c:catAx>
      <c:valAx>
        <c:axId val="14986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Mediapipe Hand detection</a:t>
                </a:r>
                <a:r>
                  <a:rPr lang="de-DE" baseline="0"/>
                  <a:t> rate [%]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987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1919287</xdr:colOff>
      <xdr:row>14</xdr:row>
      <xdr:rowOff>42862</xdr:rowOff>
    </xdr:from>
    <xdr:to>
      <xdr:col>4</xdr:col>
      <xdr:colOff>957262</xdr:colOff>
      <xdr:row>28</xdr:row>
      <xdr:rowOff>119062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133D868-5545-67B4-F558-8BB82A83D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pelman" refreshedDate="46199.333847453701" createdVersion="8" refreshedVersion="8" minRefreshableVersion="3" recordCount="36" xr:uid="{CE5CF2ED-E784-455B-825A-AA123D1EEAB2}">
  <cacheSource type="worksheet">
    <worksheetSource ref="A1:H37" sheet="HAND_ROI_TEST_excel"/>
  </cacheSource>
  <cacheFields count="8">
    <cacheField name="name" numFmtId="0">
      <sharedItems containsBlank="1" count="6">
        <s v="V1_32.5deg_720p_long_sleeves "/>
        <s v="V2_0deg_720p_short_sleeves"/>
        <s v="V3_0deg_480p_short_sleeves"/>
        <s v="V4_32.5deg_720p_short_sleeves"/>
        <s v="V5_32.5deg_480p_short_sleeves"/>
        <m/>
      </sharedItems>
    </cacheField>
    <cacheField name="frame_x" numFmtId="0">
      <sharedItems containsString="0" containsBlank="1" containsNumber="1" containsInteger="1" minValue="640" maxValue="1280"/>
    </cacheField>
    <cacheField name="frame_y" numFmtId="0">
      <sharedItems containsString="0" containsBlank="1" containsNumber="1" containsInteger="1" minValue="480" maxValue="720"/>
    </cacheField>
    <cacheField name="roi_size" numFmtId="0">
      <sharedItems containsString="0" containsBlank="1" containsNumber="1" containsInteger="1" minValue="0" maxValue="300" count="8">
        <n v="0"/>
        <n v="50"/>
        <n v="100"/>
        <n v="150"/>
        <n v="200"/>
        <n v="250"/>
        <n v="300"/>
        <m/>
      </sharedItems>
    </cacheField>
    <cacheField name="frame_counter" numFmtId="0">
      <sharedItems containsString="0" containsBlank="1" containsNumber="1" containsInteger="1" minValue="3615" maxValue="6125"/>
    </cacheField>
    <cacheField name="frame_counter_hand" numFmtId="0">
      <sharedItems containsString="0" containsBlank="1" containsNumber="1" containsInteger="1" minValue="1380" maxValue="5750"/>
    </cacheField>
    <cacheField name="hand_rate" numFmtId="0">
      <sharedItems containsString="0" containsBlank="1" containsNumber="1" containsInteger="1" minValue="298" maxValue="939"/>
    </cacheField>
    <cacheField name="hand_rate%" numFmtId="0">
      <sharedItems containsString="0" containsBlank="1" containsNumber="1" minValue="29.8" maxValue="93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1280"/>
    <n v="720"/>
    <x v="0"/>
    <n v="6125"/>
    <n v="3763"/>
    <n v="614"/>
    <n v="61.4"/>
  </r>
  <r>
    <x v="0"/>
    <n v="1280"/>
    <n v="720"/>
    <x v="1"/>
    <n v="6125"/>
    <n v="4579"/>
    <n v="748"/>
    <n v="74.8"/>
  </r>
  <r>
    <x v="0"/>
    <n v="1280"/>
    <n v="720"/>
    <x v="2"/>
    <n v="6125"/>
    <n v="5575"/>
    <n v="910"/>
    <n v="91"/>
  </r>
  <r>
    <x v="0"/>
    <n v="1280"/>
    <n v="720"/>
    <x v="3"/>
    <n v="6125"/>
    <n v="5704"/>
    <n v="931"/>
    <n v="93.1"/>
  </r>
  <r>
    <x v="0"/>
    <n v="1280"/>
    <n v="720"/>
    <x v="4"/>
    <n v="6125"/>
    <n v="5719"/>
    <n v="934"/>
    <n v="93.4"/>
  </r>
  <r>
    <x v="0"/>
    <n v="1280"/>
    <n v="720"/>
    <x v="5"/>
    <n v="6125"/>
    <n v="5750"/>
    <n v="939"/>
    <n v="93.9"/>
  </r>
  <r>
    <x v="0"/>
    <n v="1280"/>
    <n v="720"/>
    <x v="6"/>
    <n v="6125"/>
    <n v="5660"/>
    <n v="924"/>
    <n v="92.4"/>
  </r>
  <r>
    <x v="1"/>
    <n v="1280"/>
    <n v="720"/>
    <x v="0"/>
    <n v="3615"/>
    <n v="2184"/>
    <n v="604"/>
    <n v="60.4"/>
  </r>
  <r>
    <x v="1"/>
    <n v="1280"/>
    <n v="720"/>
    <x v="1"/>
    <n v="3615"/>
    <n v="1436"/>
    <n v="397"/>
    <n v="39.700000000000003"/>
  </r>
  <r>
    <x v="1"/>
    <n v="1280"/>
    <n v="720"/>
    <x v="2"/>
    <n v="3615"/>
    <n v="2515"/>
    <n v="696"/>
    <n v="69.599999999999994"/>
  </r>
  <r>
    <x v="1"/>
    <n v="1280"/>
    <n v="720"/>
    <x v="3"/>
    <n v="3615"/>
    <n v="2837"/>
    <n v="785"/>
    <n v="78.5"/>
  </r>
  <r>
    <x v="1"/>
    <n v="1280"/>
    <n v="720"/>
    <x v="4"/>
    <n v="3615"/>
    <n v="2923"/>
    <n v="809"/>
    <n v="80.900000000000006"/>
  </r>
  <r>
    <x v="1"/>
    <n v="1280"/>
    <n v="720"/>
    <x v="5"/>
    <n v="3615"/>
    <n v="2989"/>
    <n v="827"/>
    <n v="82.7"/>
  </r>
  <r>
    <x v="1"/>
    <n v="1280"/>
    <n v="720"/>
    <x v="6"/>
    <n v="3615"/>
    <n v="2960"/>
    <n v="819"/>
    <n v="81.900000000000006"/>
  </r>
  <r>
    <x v="2"/>
    <n v="640"/>
    <n v="480"/>
    <x v="0"/>
    <n v="4092"/>
    <n v="2978"/>
    <n v="728"/>
    <n v="72.8"/>
  </r>
  <r>
    <x v="2"/>
    <n v="640"/>
    <n v="480"/>
    <x v="1"/>
    <n v="4092"/>
    <n v="2977"/>
    <n v="728"/>
    <n v="72.8"/>
  </r>
  <r>
    <x v="2"/>
    <n v="640"/>
    <n v="480"/>
    <x v="2"/>
    <n v="4092"/>
    <n v="3435"/>
    <n v="839"/>
    <n v="83.9"/>
  </r>
  <r>
    <x v="2"/>
    <n v="640"/>
    <n v="480"/>
    <x v="3"/>
    <n v="4092"/>
    <n v="3449"/>
    <n v="843"/>
    <n v="84.3"/>
  </r>
  <r>
    <x v="2"/>
    <n v="640"/>
    <n v="480"/>
    <x v="4"/>
    <n v="4092"/>
    <n v="3503"/>
    <n v="856"/>
    <n v="85.6"/>
  </r>
  <r>
    <x v="2"/>
    <n v="640"/>
    <n v="480"/>
    <x v="5"/>
    <n v="4092"/>
    <n v="3496"/>
    <n v="854"/>
    <n v="85.4"/>
  </r>
  <r>
    <x v="2"/>
    <n v="640"/>
    <n v="480"/>
    <x v="6"/>
    <n v="4092"/>
    <n v="3658"/>
    <n v="894"/>
    <n v="89.4"/>
  </r>
  <r>
    <x v="3"/>
    <n v="1280"/>
    <n v="720"/>
    <x v="0"/>
    <n v="4664"/>
    <n v="1391"/>
    <n v="298"/>
    <n v="29.8"/>
  </r>
  <r>
    <x v="3"/>
    <n v="1280"/>
    <n v="720"/>
    <x v="1"/>
    <n v="4664"/>
    <n v="2483"/>
    <n v="532"/>
    <n v="53.2"/>
  </r>
  <r>
    <x v="3"/>
    <n v="1280"/>
    <n v="720"/>
    <x v="2"/>
    <n v="4664"/>
    <n v="3657"/>
    <n v="784"/>
    <n v="78.400000000000006"/>
  </r>
  <r>
    <x v="3"/>
    <n v="1280"/>
    <n v="720"/>
    <x v="3"/>
    <n v="4664"/>
    <n v="3902"/>
    <n v="837"/>
    <n v="83.7"/>
  </r>
  <r>
    <x v="3"/>
    <n v="1280"/>
    <n v="720"/>
    <x v="4"/>
    <n v="4664"/>
    <n v="3974"/>
    <n v="852"/>
    <n v="85.2"/>
  </r>
  <r>
    <x v="3"/>
    <n v="1280"/>
    <n v="720"/>
    <x v="5"/>
    <n v="4664"/>
    <n v="4021"/>
    <n v="862"/>
    <n v="86.2"/>
  </r>
  <r>
    <x v="3"/>
    <n v="1280"/>
    <n v="720"/>
    <x v="6"/>
    <n v="4664"/>
    <n v="4065"/>
    <n v="872"/>
    <n v="87.2"/>
  </r>
  <r>
    <x v="4"/>
    <n v="640"/>
    <n v="480"/>
    <x v="0"/>
    <n v="4063"/>
    <n v="1380"/>
    <n v="340"/>
    <n v="34"/>
  </r>
  <r>
    <x v="4"/>
    <n v="640"/>
    <n v="480"/>
    <x v="1"/>
    <n v="4063"/>
    <n v="2964"/>
    <n v="730"/>
    <n v="73"/>
  </r>
  <r>
    <x v="4"/>
    <n v="640"/>
    <n v="480"/>
    <x v="2"/>
    <n v="4063"/>
    <n v="3483"/>
    <n v="857"/>
    <n v="85.7"/>
  </r>
  <r>
    <x v="4"/>
    <n v="640"/>
    <n v="480"/>
    <x v="3"/>
    <n v="4063"/>
    <n v="3555"/>
    <n v="875"/>
    <n v="87.5"/>
  </r>
  <r>
    <x v="4"/>
    <n v="640"/>
    <n v="480"/>
    <x v="4"/>
    <n v="4063"/>
    <n v="3526"/>
    <n v="868"/>
    <n v="86.8"/>
  </r>
  <r>
    <x v="4"/>
    <n v="640"/>
    <n v="480"/>
    <x v="5"/>
    <n v="4063"/>
    <n v="3515"/>
    <n v="865"/>
    <n v="86.5"/>
  </r>
  <r>
    <x v="4"/>
    <n v="640"/>
    <n v="480"/>
    <x v="6"/>
    <n v="4063"/>
    <n v="3536"/>
    <n v="870"/>
    <n v="87"/>
  </r>
  <r>
    <x v="5"/>
    <m/>
    <m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4B608-1619-4545-8E6E-DF82C7A960BF}" name="PivotTable4" cacheId="2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6">
  <location ref="A3:G12" firstHeaderRow="1" firstDataRow="2" firstDataCol="1"/>
  <pivotFields count="8">
    <pivotField axis="axisCol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me von hand_rate%" fld="7" baseField="0" baseItem="0"/>
  </dataFields>
  <chartFormats count="22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E2E3807-FE20-4508-B76C-886B637522AE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name" tableColumnId="1"/>
      <queryTableField id="2" name="frame_x" tableColumnId="2"/>
      <queryTableField id="3" name="frame_y" tableColumnId="3"/>
      <queryTableField id="4" name="roi_size" tableColumnId="4"/>
      <queryTableField id="5" name="frame_counter" tableColumnId="5"/>
      <queryTableField id="6" name="frame_counter_hand" tableColumnId="6"/>
      <queryTableField id="7" name="hand_rate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4AAE18-DC42-498C-BC08-5558989D1401}" name="HAND_ROI_TEST" displayName="HAND_ROI_TEST" ref="A1:H36" tableType="queryTable" totalsRowShown="0">
  <autoFilter ref="A1:H36" xr:uid="{104AAE18-DC42-498C-BC08-5558989D1401}"/>
  <tableColumns count="8">
    <tableColumn id="1" xr3:uid="{E0FC8BE8-27CA-409D-BAEE-EC9755E27124}" uniqueName="1" name="name" queryTableFieldId="1" dataDxfId="1"/>
    <tableColumn id="2" xr3:uid="{A1C11C27-AC5C-430E-AE88-A3A0875E8772}" uniqueName="2" name="frame_x" queryTableFieldId="2"/>
    <tableColumn id="3" xr3:uid="{84A11B84-53D8-44B5-A21B-A2EFD6441EA7}" uniqueName="3" name="frame_y" queryTableFieldId="3"/>
    <tableColumn id="4" xr3:uid="{26976405-F65B-4897-AA94-FE27947B0AD0}" uniqueName="4" name="roi_size" queryTableFieldId="4"/>
    <tableColumn id="5" xr3:uid="{0F802117-E465-41B1-BC4E-CD1D1721A7BF}" uniqueName="5" name="frame_counter" queryTableFieldId="5"/>
    <tableColumn id="6" xr3:uid="{24B1E909-59D6-4558-A2CE-FF6BD2624CBC}" uniqueName="6" name="frame_counter_hand" queryTableFieldId="6"/>
    <tableColumn id="7" xr3:uid="{8C8CC08A-4AAF-4B59-9851-813D1AA8BFE4}" uniqueName="7" name="hand_rate" queryTableFieldId="7"/>
    <tableColumn id="8" xr3:uid="{6BCA0434-1369-4520-AEC7-74B5A18DC731}" uniqueName="8" name="hand_rate%" queryTableFieldId="8" dataDxfId="0">
      <calculatedColumnFormula>HAND_ROI_TEST[[#This Row],[hand_rate]]/10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2B61-D153-4B73-B448-C76A88B89DBE}">
  <dimension ref="A3:G12"/>
  <sheetViews>
    <sheetView tabSelected="1" workbookViewId="0">
      <selection activeCell="F19" sqref="F19"/>
    </sheetView>
  </sheetViews>
  <sheetFormatPr baseColWidth="10" defaultRowHeight="15" x14ac:dyDescent="0.25"/>
  <cols>
    <col min="1" max="1" width="22.7109375" bestFit="1" customWidth="1"/>
    <col min="2" max="2" width="29.28515625" bestFit="1" customWidth="1"/>
    <col min="3" max="4" width="27.140625" bestFit="1" customWidth="1"/>
    <col min="5" max="6" width="29.7109375" bestFit="1" customWidth="1"/>
    <col min="7" max="8" width="15.85546875" bestFit="1" customWidth="1"/>
  </cols>
  <sheetData>
    <row r="3" spans="1:7" x14ac:dyDescent="0.25">
      <c r="A3" s="2" t="s">
        <v>16</v>
      </c>
      <c r="B3" s="2" t="s">
        <v>9</v>
      </c>
    </row>
    <row r="4" spans="1:7" x14ac:dyDescent="0.25">
      <c r="A4" s="2" t="s">
        <v>7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8</v>
      </c>
    </row>
    <row r="5" spans="1:7" x14ac:dyDescent="0.25">
      <c r="A5" s="3">
        <v>0</v>
      </c>
      <c r="B5" s="1">
        <v>61.4</v>
      </c>
      <c r="C5" s="1">
        <v>60.4</v>
      </c>
      <c r="D5" s="1">
        <v>72.8</v>
      </c>
      <c r="E5" s="1">
        <v>29.8</v>
      </c>
      <c r="F5" s="1">
        <v>34</v>
      </c>
      <c r="G5" s="1">
        <v>258.39999999999998</v>
      </c>
    </row>
    <row r="6" spans="1:7" x14ac:dyDescent="0.25">
      <c r="A6" s="3">
        <v>50</v>
      </c>
      <c r="B6" s="1">
        <v>74.8</v>
      </c>
      <c r="C6" s="1">
        <v>39.700000000000003</v>
      </c>
      <c r="D6" s="1">
        <v>72.8</v>
      </c>
      <c r="E6" s="1">
        <v>53.2</v>
      </c>
      <c r="F6" s="1">
        <v>73</v>
      </c>
      <c r="G6" s="1">
        <v>313.5</v>
      </c>
    </row>
    <row r="7" spans="1:7" x14ac:dyDescent="0.25">
      <c r="A7" s="3">
        <v>100</v>
      </c>
      <c r="B7" s="1">
        <v>91</v>
      </c>
      <c r="C7" s="1">
        <v>69.599999999999994</v>
      </c>
      <c r="D7" s="1">
        <v>83.9</v>
      </c>
      <c r="E7" s="1">
        <v>78.400000000000006</v>
      </c>
      <c r="F7" s="1">
        <v>85.7</v>
      </c>
      <c r="G7" s="1">
        <v>408.59999999999997</v>
      </c>
    </row>
    <row r="8" spans="1:7" x14ac:dyDescent="0.25">
      <c r="A8" s="3">
        <v>150</v>
      </c>
      <c r="B8" s="1">
        <v>93.1</v>
      </c>
      <c r="C8" s="1">
        <v>78.5</v>
      </c>
      <c r="D8" s="1">
        <v>84.3</v>
      </c>
      <c r="E8" s="1">
        <v>83.7</v>
      </c>
      <c r="F8" s="1">
        <v>87.5</v>
      </c>
      <c r="G8" s="1">
        <v>427.09999999999997</v>
      </c>
    </row>
    <row r="9" spans="1:7" x14ac:dyDescent="0.25">
      <c r="A9" s="3">
        <v>200</v>
      </c>
      <c r="B9" s="1">
        <v>93.4</v>
      </c>
      <c r="C9" s="1">
        <v>80.900000000000006</v>
      </c>
      <c r="D9" s="1">
        <v>85.6</v>
      </c>
      <c r="E9" s="1">
        <v>85.2</v>
      </c>
      <c r="F9" s="1">
        <v>86.8</v>
      </c>
      <c r="G9" s="1">
        <v>431.9</v>
      </c>
    </row>
    <row r="10" spans="1:7" x14ac:dyDescent="0.25">
      <c r="A10" s="3">
        <v>250</v>
      </c>
      <c r="B10" s="1">
        <v>93.9</v>
      </c>
      <c r="C10" s="1">
        <v>82.7</v>
      </c>
      <c r="D10" s="1">
        <v>85.4</v>
      </c>
      <c r="E10" s="1">
        <v>86.2</v>
      </c>
      <c r="F10" s="1">
        <v>86.5</v>
      </c>
      <c r="G10" s="1">
        <v>434.7</v>
      </c>
    </row>
    <row r="11" spans="1:7" x14ac:dyDescent="0.25">
      <c r="A11" s="3">
        <v>300</v>
      </c>
      <c r="B11" s="1">
        <v>92.4</v>
      </c>
      <c r="C11" s="1">
        <v>81.900000000000006</v>
      </c>
      <c r="D11" s="1">
        <v>89.4</v>
      </c>
      <c r="E11" s="1">
        <v>87.2</v>
      </c>
      <c r="F11" s="1">
        <v>87</v>
      </c>
      <c r="G11" s="1">
        <v>437.90000000000003</v>
      </c>
    </row>
    <row r="12" spans="1:7" x14ac:dyDescent="0.25">
      <c r="A12" s="3" t="s">
        <v>8</v>
      </c>
      <c r="B12" s="1">
        <v>599.99999999999989</v>
      </c>
      <c r="C12" s="1">
        <v>493.70000000000005</v>
      </c>
      <c r="D12" s="1">
        <v>574.19999999999993</v>
      </c>
      <c r="E12" s="1">
        <v>503.7</v>
      </c>
      <c r="F12" s="1">
        <v>540.5</v>
      </c>
      <c r="G12" s="1">
        <v>2712.1</v>
      </c>
    </row>
  </sheetData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58C6-1FF4-454D-A8F0-5DF56F460A25}">
  <dimension ref="A1:H36"/>
  <sheetViews>
    <sheetView topLeftCell="A4" zoomScaleNormal="100" workbookViewId="0">
      <selection sqref="A1:H37"/>
    </sheetView>
  </sheetViews>
  <sheetFormatPr baseColWidth="10" defaultRowHeight="15" x14ac:dyDescent="0.25"/>
  <cols>
    <col min="1" max="1" width="23.7109375" bestFit="1" customWidth="1"/>
    <col min="2" max="3" width="10.42578125" bestFit="1" customWidth="1"/>
    <col min="4" max="4" width="10.140625" bestFit="1" customWidth="1"/>
    <col min="5" max="5" width="16.42578125" bestFit="1" customWidth="1"/>
    <col min="6" max="6" width="21.85546875" bestFit="1" customWidth="1"/>
    <col min="7" max="7" width="12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</row>
    <row r="2" spans="1:8" x14ac:dyDescent="0.25">
      <c r="A2" s="1" t="s">
        <v>10</v>
      </c>
      <c r="B2">
        <v>1280</v>
      </c>
      <c r="C2">
        <v>720</v>
      </c>
      <c r="D2">
        <v>0</v>
      </c>
      <c r="E2">
        <v>6125</v>
      </c>
      <c r="F2">
        <v>3763</v>
      </c>
      <c r="G2">
        <v>614</v>
      </c>
      <c r="H2">
        <f>HAND_ROI_TEST[[#This Row],[hand_rate]]/10</f>
        <v>61.4</v>
      </c>
    </row>
    <row r="3" spans="1:8" x14ac:dyDescent="0.25">
      <c r="A3" s="1" t="s">
        <v>10</v>
      </c>
      <c r="B3">
        <v>1280</v>
      </c>
      <c r="C3">
        <v>720</v>
      </c>
      <c r="D3">
        <v>50</v>
      </c>
      <c r="E3">
        <v>6125</v>
      </c>
      <c r="F3">
        <v>4579</v>
      </c>
      <c r="G3">
        <v>748</v>
      </c>
      <c r="H3">
        <f>HAND_ROI_TEST[[#This Row],[hand_rate]]/10</f>
        <v>74.8</v>
      </c>
    </row>
    <row r="4" spans="1:8" x14ac:dyDescent="0.25">
      <c r="A4" s="1" t="s">
        <v>10</v>
      </c>
      <c r="B4">
        <v>1280</v>
      </c>
      <c r="C4">
        <v>720</v>
      </c>
      <c r="D4">
        <v>100</v>
      </c>
      <c r="E4">
        <v>6125</v>
      </c>
      <c r="F4">
        <v>5575</v>
      </c>
      <c r="G4">
        <v>910</v>
      </c>
      <c r="H4">
        <f>HAND_ROI_TEST[[#This Row],[hand_rate]]/10</f>
        <v>91</v>
      </c>
    </row>
    <row r="5" spans="1:8" x14ac:dyDescent="0.25">
      <c r="A5" s="1" t="s">
        <v>10</v>
      </c>
      <c r="B5">
        <v>1280</v>
      </c>
      <c r="C5">
        <v>720</v>
      </c>
      <c r="D5">
        <v>150</v>
      </c>
      <c r="E5">
        <v>6125</v>
      </c>
      <c r="F5">
        <v>5704</v>
      </c>
      <c r="G5">
        <v>931</v>
      </c>
      <c r="H5">
        <f>HAND_ROI_TEST[[#This Row],[hand_rate]]/10</f>
        <v>93.1</v>
      </c>
    </row>
    <row r="6" spans="1:8" x14ac:dyDescent="0.25">
      <c r="A6" s="1" t="s">
        <v>10</v>
      </c>
      <c r="B6">
        <v>1280</v>
      </c>
      <c r="C6">
        <v>720</v>
      </c>
      <c r="D6">
        <v>200</v>
      </c>
      <c r="E6">
        <v>6125</v>
      </c>
      <c r="F6">
        <v>5719</v>
      </c>
      <c r="G6">
        <v>934</v>
      </c>
      <c r="H6">
        <f>HAND_ROI_TEST[[#This Row],[hand_rate]]/10</f>
        <v>93.4</v>
      </c>
    </row>
    <row r="7" spans="1:8" x14ac:dyDescent="0.25">
      <c r="A7" s="1" t="s">
        <v>10</v>
      </c>
      <c r="B7">
        <v>1280</v>
      </c>
      <c r="C7">
        <v>720</v>
      </c>
      <c r="D7">
        <v>250</v>
      </c>
      <c r="E7">
        <v>6125</v>
      </c>
      <c r="F7">
        <v>5750</v>
      </c>
      <c r="G7">
        <v>939</v>
      </c>
      <c r="H7">
        <f>HAND_ROI_TEST[[#This Row],[hand_rate]]/10</f>
        <v>93.9</v>
      </c>
    </row>
    <row r="8" spans="1:8" x14ac:dyDescent="0.25">
      <c r="A8" s="1" t="s">
        <v>10</v>
      </c>
      <c r="B8">
        <v>1280</v>
      </c>
      <c r="C8">
        <v>720</v>
      </c>
      <c r="D8">
        <v>300</v>
      </c>
      <c r="E8">
        <v>6125</v>
      </c>
      <c r="F8">
        <v>5660</v>
      </c>
      <c r="G8">
        <v>924</v>
      </c>
      <c r="H8">
        <f>HAND_ROI_TEST[[#This Row],[hand_rate]]/10</f>
        <v>92.4</v>
      </c>
    </row>
    <row r="9" spans="1:8" x14ac:dyDescent="0.25">
      <c r="A9" s="1" t="s">
        <v>11</v>
      </c>
      <c r="B9">
        <v>1280</v>
      </c>
      <c r="C9">
        <v>720</v>
      </c>
      <c r="D9">
        <v>0</v>
      </c>
      <c r="E9">
        <v>3615</v>
      </c>
      <c r="F9">
        <v>2184</v>
      </c>
      <c r="G9">
        <v>604</v>
      </c>
      <c r="H9">
        <f>HAND_ROI_TEST[[#This Row],[hand_rate]]/10</f>
        <v>60.4</v>
      </c>
    </row>
    <row r="10" spans="1:8" x14ac:dyDescent="0.25">
      <c r="A10" s="1" t="s">
        <v>11</v>
      </c>
      <c r="B10">
        <v>1280</v>
      </c>
      <c r="C10">
        <v>720</v>
      </c>
      <c r="D10">
        <v>50</v>
      </c>
      <c r="E10">
        <v>3615</v>
      </c>
      <c r="F10">
        <v>1436</v>
      </c>
      <c r="G10">
        <v>397</v>
      </c>
      <c r="H10">
        <f>HAND_ROI_TEST[[#This Row],[hand_rate]]/10</f>
        <v>39.700000000000003</v>
      </c>
    </row>
    <row r="11" spans="1:8" x14ac:dyDescent="0.25">
      <c r="A11" s="1" t="s">
        <v>11</v>
      </c>
      <c r="B11">
        <v>1280</v>
      </c>
      <c r="C11">
        <v>720</v>
      </c>
      <c r="D11">
        <v>100</v>
      </c>
      <c r="E11">
        <v>3615</v>
      </c>
      <c r="F11">
        <v>2515</v>
      </c>
      <c r="G11">
        <v>696</v>
      </c>
      <c r="H11">
        <f>HAND_ROI_TEST[[#This Row],[hand_rate]]/10</f>
        <v>69.599999999999994</v>
      </c>
    </row>
    <row r="12" spans="1:8" x14ac:dyDescent="0.25">
      <c r="A12" s="1" t="s">
        <v>11</v>
      </c>
      <c r="B12">
        <v>1280</v>
      </c>
      <c r="C12">
        <v>720</v>
      </c>
      <c r="D12">
        <v>150</v>
      </c>
      <c r="E12">
        <v>3615</v>
      </c>
      <c r="F12">
        <v>2837</v>
      </c>
      <c r="G12">
        <v>785</v>
      </c>
      <c r="H12">
        <f>HAND_ROI_TEST[[#This Row],[hand_rate]]/10</f>
        <v>78.5</v>
      </c>
    </row>
    <row r="13" spans="1:8" x14ac:dyDescent="0.25">
      <c r="A13" s="1" t="s">
        <v>11</v>
      </c>
      <c r="B13">
        <v>1280</v>
      </c>
      <c r="C13">
        <v>720</v>
      </c>
      <c r="D13">
        <v>200</v>
      </c>
      <c r="E13">
        <v>3615</v>
      </c>
      <c r="F13">
        <v>2923</v>
      </c>
      <c r="G13">
        <v>809</v>
      </c>
      <c r="H13">
        <f>HAND_ROI_TEST[[#This Row],[hand_rate]]/10</f>
        <v>80.900000000000006</v>
      </c>
    </row>
    <row r="14" spans="1:8" x14ac:dyDescent="0.25">
      <c r="A14" s="1" t="s">
        <v>11</v>
      </c>
      <c r="B14">
        <v>1280</v>
      </c>
      <c r="C14">
        <v>720</v>
      </c>
      <c r="D14">
        <v>250</v>
      </c>
      <c r="E14">
        <v>3615</v>
      </c>
      <c r="F14">
        <v>2989</v>
      </c>
      <c r="G14">
        <v>827</v>
      </c>
      <c r="H14">
        <f>HAND_ROI_TEST[[#This Row],[hand_rate]]/10</f>
        <v>82.7</v>
      </c>
    </row>
    <row r="15" spans="1:8" x14ac:dyDescent="0.25">
      <c r="A15" s="1" t="s">
        <v>11</v>
      </c>
      <c r="B15">
        <v>1280</v>
      </c>
      <c r="C15">
        <v>720</v>
      </c>
      <c r="D15">
        <v>300</v>
      </c>
      <c r="E15">
        <v>3615</v>
      </c>
      <c r="F15">
        <v>2960</v>
      </c>
      <c r="G15">
        <v>819</v>
      </c>
      <c r="H15">
        <f>HAND_ROI_TEST[[#This Row],[hand_rate]]/10</f>
        <v>81.900000000000006</v>
      </c>
    </row>
    <row r="16" spans="1:8" x14ac:dyDescent="0.25">
      <c r="A16" s="1" t="s">
        <v>12</v>
      </c>
      <c r="B16">
        <v>640</v>
      </c>
      <c r="C16">
        <v>480</v>
      </c>
      <c r="D16">
        <v>0</v>
      </c>
      <c r="E16">
        <v>4092</v>
      </c>
      <c r="F16">
        <v>2978</v>
      </c>
      <c r="G16">
        <v>728</v>
      </c>
      <c r="H16">
        <f>HAND_ROI_TEST[[#This Row],[hand_rate]]/10</f>
        <v>72.8</v>
      </c>
    </row>
    <row r="17" spans="1:8" x14ac:dyDescent="0.25">
      <c r="A17" s="1" t="s">
        <v>12</v>
      </c>
      <c r="B17">
        <v>640</v>
      </c>
      <c r="C17">
        <v>480</v>
      </c>
      <c r="D17">
        <v>50</v>
      </c>
      <c r="E17">
        <v>4092</v>
      </c>
      <c r="F17">
        <v>2977</v>
      </c>
      <c r="G17">
        <v>728</v>
      </c>
      <c r="H17">
        <f>HAND_ROI_TEST[[#This Row],[hand_rate]]/10</f>
        <v>72.8</v>
      </c>
    </row>
    <row r="18" spans="1:8" x14ac:dyDescent="0.25">
      <c r="A18" s="1" t="s">
        <v>12</v>
      </c>
      <c r="B18">
        <v>640</v>
      </c>
      <c r="C18">
        <v>480</v>
      </c>
      <c r="D18">
        <v>100</v>
      </c>
      <c r="E18">
        <v>4092</v>
      </c>
      <c r="F18">
        <v>3435</v>
      </c>
      <c r="G18">
        <v>839</v>
      </c>
      <c r="H18">
        <f>HAND_ROI_TEST[[#This Row],[hand_rate]]/10</f>
        <v>83.9</v>
      </c>
    </row>
    <row r="19" spans="1:8" x14ac:dyDescent="0.25">
      <c r="A19" s="1" t="s">
        <v>12</v>
      </c>
      <c r="B19">
        <v>640</v>
      </c>
      <c r="C19">
        <v>480</v>
      </c>
      <c r="D19">
        <v>150</v>
      </c>
      <c r="E19">
        <v>4092</v>
      </c>
      <c r="F19">
        <v>3449</v>
      </c>
      <c r="G19">
        <v>843</v>
      </c>
      <c r="H19">
        <f>HAND_ROI_TEST[[#This Row],[hand_rate]]/10</f>
        <v>84.3</v>
      </c>
    </row>
    <row r="20" spans="1:8" x14ac:dyDescent="0.25">
      <c r="A20" s="1" t="s">
        <v>12</v>
      </c>
      <c r="B20">
        <v>640</v>
      </c>
      <c r="C20">
        <v>480</v>
      </c>
      <c r="D20">
        <v>200</v>
      </c>
      <c r="E20">
        <v>4092</v>
      </c>
      <c r="F20">
        <v>3503</v>
      </c>
      <c r="G20">
        <v>856</v>
      </c>
      <c r="H20">
        <f>HAND_ROI_TEST[[#This Row],[hand_rate]]/10</f>
        <v>85.6</v>
      </c>
    </row>
    <row r="21" spans="1:8" x14ac:dyDescent="0.25">
      <c r="A21" s="1" t="s">
        <v>12</v>
      </c>
      <c r="B21">
        <v>640</v>
      </c>
      <c r="C21">
        <v>480</v>
      </c>
      <c r="D21">
        <v>250</v>
      </c>
      <c r="E21">
        <v>4092</v>
      </c>
      <c r="F21">
        <v>3496</v>
      </c>
      <c r="G21">
        <v>854</v>
      </c>
      <c r="H21">
        <f>HAND_ROI_TEST[[#This Row],[hand_rate]]/10</f>
        <v>85.4</v>
      </c>
    </row>
    <row r="22" spans="1:8" x14ac:dyDescent="0.25">
      <c r="A22" s="1" t="s">
        <v>12</v>
      </c>
      <c r="B22">
        <v>640</v>
      </c>
      <c r="C22">
        <v>480</v>
      </c>
      <c r="D22">
        <v>300</v>
      </c>
      <c r="E22">
        <v>4092</v>
      </c>
      <c r="F22">
        <v>3658</v>
      </c>
      <c r="G22">
        <v>894</v>
      </c>
      <c r="H22">
        <f>HAND_ROI_TEST[[#This Row],[hand_rate]]/10</f>
        <v>89.4</v>
      </c>
    </row>
    <row r="23" spans="1:8" x14ac:dyDescent="0.25">
      <c r="A23" s="1" t="s">
        <v>13</v>
      </c>
      <c r="B23">
        <v>1280</v>
      </c>
      <c r="C23">
        <v>720</v>
      </c>
      <c r="D23">
        <v>0</v>
      </c>
      <c r="E23">
        <v>4664</v>
      </c>
      <c r="F23">
        <v>1391</v>
      </c>
      <c r="G23">
        <v>298</v>
      </c>
      <c r="H23">
        <f>HAND_ROI_TEST[[#This Row],[hand_rate]]/10</f>
        <v>29.8</v>
      </c>
    </row>
    <row r="24" spans="1:8" x14ac:dyDescent="0.25">
      <c r="A24" s="1" t="s">
        <v>13</v>
      </c>
      <c r="B24">
        <v>1280</v>
      </c>
      <c r="C24">
        <v>720</v>
      </c>
      <c r="D24">
        <v>50</v>
      </c>
      <c r="E24">
        <v>4664</v>
      </c>
      <c r="F24">
        <v>2483</v>
      </c>
      <c r="G24">
        <v>532</v>
      </c>
      <c r="H24">
        <f>HAND_ROI_TEST[[#This Row],[hand_rate]]/10</f>
        <v>53.2</v>
      </c>
    </row>
    <row r="25" spans="1:8" x14ac:dyDescent="0.25">
      <c r="A25" s="1" t="s">
        <v>13</v>
      </c>
      <c r="B25">
        <v>1280</v>
      </c>
      <c r="C25">
        <v>720</v>
      </c>
      <c r="D25">
        <v>100</v>
      </c>
      <c r="E25">
        <v>4664</v>
      </c>
      <c r="F25">
        <v>3657</v>
      </c>
      <c r="G25">
        <v>784</v>
      </c>
      <c r="H25">
        <f>HAND_ROI_TEST[[#This Row],[hand_rate]]/10</f>
        <v>78.400000000000006</v>
      </c>
    </row>
    <row r="26" spans="1:8" x14ac:dyDescent="0.25">
      <c r="A26" s="1" t="s">
        <v>13</v>
      </c>
      <c r="B26">
        <v>1280</v>
      </c>
      <c r="C26">
        <v>720</v>
      </c>
      <c r="D26">
        <v>150</v>
      </c>
      <c r="E26">
        <v>4664</v>
      </c>
      <c r="F26">
        <v>3902</v>
      </c>
      <c r="G26">
        <v>837</v>
      </c>
      <c r="H26">
        <f>HAND_ROI_TEST[[#This Row],[hand_rate]]/10</f>
        <v>83.7</v>
      </c>
    </row>
    <row r="27" spans="1:8" x14ac:dyDescent="0.25">
      <c r="A27" s="1" t="s">
        <v>13</v>
      </c>
      <c r="B27">
        <v>1280</v>
      </c>
      <c r="C27">
        <v>720</v>
      </c>
      <c r="D27">
        <v>200</v>
      </c>
      <c r="E27">
        <v>4664</v>
      </c>
      <c r="F27">
        <v>3974</v>
      </c>
      <c r="G27">
        <v>852</v>
      </c>
      <c r="H27">
        <f>HAND_ROI_TEST[[#This Row],[hand_rate]]/10</f>
        <v>85.2</v>
      </c>
    </row>
    <row r="28" spans="1:8" x14ac:dyDescent="0.25">
      <c r="A28" s="1" t="s">
        <v>13</v>
      </c>
      <c r="B28">
        <v>1280</v>
      </c>
      <c r="C28">
        <v>720</v>
      </c>
      <c r="D28">
        <v>250</v>
      </c>
      <c r="E28">
        <v>4664</v>
      </c>
      <c r="F28">
        <v>4021</v>
      </c>
      <c r="G28">
        <v>862</v>
      </c>
      <c r="H28">
        <f>HAND_ROI_TEST[[#This Row],[hand_rate]]/10</f>
        <v>86.2</v>
      </c>
    </row>
    <row r="29" spans="1:8" x14ac:dyDescent="0.25">
      <c r="A29" s="1" t="s">
        <v>13</v>
      </c>
      <c r="B29">
        <v>1280</v>
      </c>
      <c r="C29">
        <v>720</v>
      </c>
      <c r="D29">
        <v>300</v>
      </c>
      <c r="E29">
        <v>4664</v>
      </c>
      <c r="F29">
        <v>4065</v>
      </c>
      <c r="G29">
        <v>872</v>
      </c>
      <c r="H29">
        <f>HAND_ROI_TEST[[#This Row],[hand_rate]]/10</f>
        <v>87.2</v>
      </c>
    </row>
    <row r="30" spans="1:8" x14ac:dyDescent="0.25">
      <c r="A30" s="1" t="s">
        <v>14</v>
      </c>
      <c r="B30">
        <v>640</v>
      </c>
      <c r="C30">
        <v>480</v>
      </c>
      <c r="D30">
        <v>0</v>
      </c>
      <c r="E30">
        <v>4063</v>
      </c>
      <c r="F30">
        <v>1380</v>
      </c>
      <c r="G30">
        <v>340</v>
      </c>
      <c r="H30">
        <f>HAND_ROI_TEST[[#This Row],[hand_rate]]/10</f>
        <v>34</v>
      </c>
    </row>
    <row r="31" spans="1:8" x14ac:dyDescent="0.25">
      <c r="A31" s="1" t="s">
        <v>14</v>
      </c>
      <c r="B31">
        <v>640</v>
      </c>
      <c r="C31">
        <v>480</v>
      </c>
      <c r="D31">
        <v>50</v>
      </c>
      <c r="E31">
        <v>4063</v>
      </c>
      <c r="F31">
        <v>2964</v>
      </c>
      <c r="G31">
        <v>730</v>
      </c>
      <c r="H31">
        <f>HAND_ROI_TEST[[#This Row],[hand_rate]]/10</f>
        <v>73</v>
      </c>
    </row>
    <row r="32" spans="1:8" x14ac:dyDescent="0.25">
      <c r="A32" s="1" t="s">
        <v>14</v>
      </c>
      <c r="B32">
        <v>640</v>
      </c>
      <c r="C32">
        <v>480</v>
      </c>
      <c r="D32">
        <v>100</v>
      </c>
      <c r="E32">
        <v>4063</v>
      </c>
      <c r="F32">
        <v>3483</v>
      </c>
      <c r="G32">
        <v>857</v>
      </c>
      <c r="H32">
        <f>HAND_ROI_TEST[[#This Row],[hand_rate]]/10</f>
        <v>85.7</v>
      </c>
    </row>
    <row r="33" spans="1:8" x14ac:dyDescent="0.25">
      <c r="A33" s="1" t="s">
        <v>14</v>
      </c>
      <c r="B33">
        <v>640</v>
      </c>
      <c r="C33">
        <v>480</v>
      </c>
      <c r="D33">
        <v>150</v>
      </c>
      <c r="E33">
        <v>4063</v>
      </c>
      <c r="F33">
        <v>3555</v>
      </c>
      <c r="G33">
        <v>875</v>
      </c>
      <c r="H33">
        <f>HAND_ROI_TEST[[#This Row],[hand_rate]]/10</f>
        <v>87.5</v>
      </c>
    </row>
    <row r="34" spans="1:8" x14ac:dyDescent="0.25">
      <c r="A34" s="1" t="s">
        <v>14</v>
      </c>
      <c r="B34">
        <v>640</v>
      </c>
      <c r="C34">
        <v>480</v>
      </c>
      <c r="D34">
        <v>200</v>
      </c>
      <c r="E34">
        <v>4063</v>
      </c>
      <c r="F34">
        <v>3526</v>
      </c>
      <c r="G34">
        <v>868</v>
      </c>
      <c r="H34">
        <f>HAND_ROI_TEST[[#This Row],[hand_rate]]/10</f>
        <v>86.8</v>
      </c>
    </row>
    <row r="35" spans="1:8" x14ac:dyDescent="0.25">
      <c r="A35" s="1" t="s">
        <v>14</v>
      </c>
      <c r="B35">
        <v>640</v>
      </c>
      <c r="C35">
        <v>480</v>
      </c>
      <c r="D35">
        <v>250</v>
      </c>
      <c r="E35">
        <v>4063</v>
      </c>
      <c r="F35">
        <v>3515</v>
      </c>
      <c r="G35">
        <v>865</v>
      </c>
      <c r="H35">
        <f>HAND_ROI_TEST[[#This Row],[hand_rate]]/10</f>
        <v>86.5</v>
      </c>
    </row>
    <row r="36" spans="1:8" x14ac:dyDescent="0.25">
      <c r="A36" s="1" t="s">
        <v>14</v>
      </c>
      <c r="B36">
        <v>640</v>
      </c>
      <c r="C36">
        <v>480</v>
      </c>
      <c r="D36">
        <v>300</v>
      </c>
      <c r="E36">
        <v>4063</v>
      </c>
      <c r="F36">
        <v>3536</v>
      </c>
      <c r="G36">
        <v>870</v>
      </c>
      <c r="H36">
        <f>HAND_ROI_TEST[[#This Row],[hand_rate]]/10</f>
        <v>87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937B-F0A4-4BFA-AB76-F24C7F9428BF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F87AC8-6C42-4005-A798-79459E901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Tabelle4</vt:lpstr>
      <vt:lpstr>HAND_ROI_TEST_excel</vt:lpstr>
      <vt:lpstr>HAND_ROI_TEST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Ampelman</dc:creator>
  <cp:lastModifiedBy>jonas w.</cp:lastModifiedBy>
  <dcterms:created xsi:type="dcterms:W3CDTF">2026-06-26T05:04:23Z</dcterms:created>
  <dcterms:modified xsi:type="dcterms:W3CDTF">2026-06-26T06:06:42Z</dcterms:modified>
</cp:coreProperties>
</file>